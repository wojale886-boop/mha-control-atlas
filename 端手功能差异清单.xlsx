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1" autoFilterDateGrouping="1"/>
  </bookViews>
  <sheets>
    <sheet name="说明" sheetId="1" state="visible" r:id="rId1"/>
    <sheet name="PCfeatureLsit" sheetId="2" state="visible" r:id="rId2"/>
    <sheet name="工作量汇总" sheetId="3" state="visible" r:id="rId3"/>
    <sheet name="假设参数" sheetId="4" state="visible" r:id="rId4"/>
    <sheet name="全量清单" sheetId="5" state="visible" r:id="rId5"/>
    <sheet name="参考来源" sheetId="6" state="visible" r:id="rId6"/>
  </sheets>
  <definedNames>
    <definedName name="_xlnm._FilterDatabase" localSheetId="1" hidden="1">'PCfeatureLsit'!$A$3:$H$146</definedName>
    <definedName name="_xlnm._FilterDatabase" localSheetId="4" hidden="1">'全量清单'!$A$1:$R$131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6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0.5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0000FF"/>
      <sz val="10"/>
    </font>
    <font>
      <name val="微软雅黑"/>
      <charset val="134"/>
      <family val="2"/>
      <b val="1"/>
      <color rgb="FF15803D"/>
      <sz val="10"/>
    </font>
    <font>
      <name val="微软雅黑"/>
      <charset val="134"/>
      <family val="2"/>
      <color rgb="FFB45309"/>
      <sz val="10"/>
    </font>
    <font>
      <name val="微软雅黑"/>
      <charset val="134"/>
      <family val="2"/>
      <b val="1"/>
      <sz val="12"/>
    </font>
    <font>
      <name val="微软雅黑"/>
      <charset val="134"/>
      <family val="2"/>
      <color rgb="FF0563C1"/>
      <sz val="10"/>
      <u val="single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  <scheme val="minor"/>
    </font>
    <font>
      <name val="微软雅黑"/>
      <charset val="134"/>
      <family val="2"/>
      <b val="1"/>
      <color rgb="FFFFFFFF"/>
      <sz val="12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color rgb="FF000000"/>
      <sz val="10"/>
    </font>
    <font>
      <name val="微软雅黑"/>
      <charset val="134"/>
      <family val="2"/>
      <color rgb="FFFFFFFF"/>
      <sz val="10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FFFFFF"/>
      <sz val="10"/>
    </font>
    <font>
      <name val="微软雅黑"/>
      <color rgb="000070C0"/>
      <sz val="10"/>
    </font>
    <font>
      <name val="微软雅黑"/>
      <b val="1"/>
      <color rgb="000070C0"/>
      <sz val="10"/>
    </font>
    <font>
      <name val="微软雅黑"/>
      <b val="1"/>
      <color rgb="0015803D"/>
      <sz val="10"/>
    </font>
    <font>
      <name val="微软雅黑"/>
      <color rgb="0015803D"/>
      <sz val="10"/>
    </font>
    <font/>
    <font>
      <name val="微软雅黑"/>
      <b val="1"/>
      <color rgb="001D4ED8"/>
      <sz val="10"/>
    </font>
  </fonts>
  <fills count="20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FFF00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C00000"/>
        <bgColor indexed="64"/>
      </patternFill>
    </fill>
    <fill>
      <patternFill patternType="solid">
        <fgColor rgb="FF277C4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00C00000"/>
      </patternFill>
    </fill>
    <fill>
      <patternFill patternType="solid">
        <fgColor rgb="00277C4F"/>
      </patternFill>
    </fill>
    <fill>
      <patternFill patternType="solid">
        <fgColor rgb="001F4E79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CA5A5"/>
      </patternFill>
    </fill>
    <fill>
      <patternFill patternType="solid">
        <fgColor rgb="00DBEAFE"/>
      </patternFill>
    </fill>
  </fills>
  <borders count="3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/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8" borderId="5" applyAlignment="1" pivotButton="0" quotePrefix="0" xfId="0">
      <alignment horizontal="center" vertical="center" wrapText="1"/>
    </xf>
    <xf numFmtId="0" fontId="11" fillId="8" borderId="6" applyAlignment="1" pivotButton="0" quotePrefix="0" xfId="0">
      <alignment horizontal="center" vertical="center" wrapText="1"/>
    </xf>
    <xf numFmtId="0" fontId="11" fillId="8" borderId="7" applyAlignment="1" pivotButton="0" quotePrefix="0" xfId="0">
      <alignment horizontal="center" vertical="center" wrapText="1"/>
    </xf>
    <xf numFmtId="0" fontId="11" fillId="9" borderId="11" applyAlignment="1" pivotButton="0" quotePrefix="0" xfId="0">
      <alignment horizontal="center" vertical="center" wrapText="1"/>
    </xf>
    <xf numFmtId="0" fontId="11" fillId="8" borderId="8" applyAlignment="1" pivotButton="0" quotePrefix="0" xfId="0">
      <alignment horizontal="center" vertical="center" wrapText="1"/>
    </xf>
    <xf numFmtId="0" fontId="11" fillId="8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center" vertical="center" wrapText="1"/>
    </xf>
    <xf numFmtId="0" fontId="11" fillId="9" borderId="12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center" vertical="center" wrapText="1"/>
    </xf>
    <xf numFmtId="0" fontId="12" fillId="8" borderId="4" applyAlignment="1" pivotButton="0" quotePrefix="0" xfId="0">
      <alignment horizontal="center" vertical="center"/>
    </xf>
    <xf numFmtId="0" fontId="12" fillId="8" borderId="11" applyAlignment="1" pivotButton="0" quotePrefix="0" xfId="0">
      <alignment horizontal="center" vertical="center" wrapText="1"/>
    </xf>
    <xf numFmtId="0" fontId="12" fillId="9" borderId="11" applyAlignment="1" pivotButton="0" quotePrefix="0" xfId="0">
      <alignment vertical="center" wrapText="1"/>
    </xf>
    <xf numFmtId="0" fontId="13" fillId="8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 wrapText="1"/>
    </xf>
    <xf numFmtId="0" fontId="14" fillId="0" borderId="4" applyAlignment="1" pivotButton="0" quotePrefix="0" xfId="0">
      <alignment vertical="center" wrapText="1"/>
    </xf>
    <xf numFmtId="0" fontId="14" fillId="0" borderId="4" applyAlignment="1" pivotButton="0" quotePrefix="0" xfId="0">
      <alignment vertical="center"/>
    </xf>
    <xf numFmtId="0" fontId="13" fillId="8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left" vertical="center" wrapText="1"/>
    </xf>
    <xf numFmtId="0" fontId="14" fillId="0" borderId="15" applyAlignment="1" pivotButton="0" quotePrefix="0" xfId="0">
      <alignment vertical="center" wrapText="1"/>
    </xf>
    <xf numFmtId="0" fontId="14" fillId="0" borderId="12" applyAlignment="1" pivotButton="0" quotePrefix="0" xfId="0">
      <alignment horizontal="left" vertical="center" wrapText="1"/>
    </xf>
    <xf numFmtId="0" fontId="14" fillId="0" borderId="12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 wrapText="1"/>
    </xf>
    <xf numFmtId="0" fontId="14" fillId="0" borderId="12" applyAlignment="1" pivotButton="0" quotePrefix="0" xfId="0">
      <alignment horizontal="left" vertical="center"/>
    </xf>
    <xf numFmtId="0" fontId="14" fillId="0" borderId="8" applyAlignment="1" pivotButton="0" quotePrefix="0" xfId="0">
      <alignment vertical="center"/>
    </xf>
    <xf numFmtId="0" fontId="14" fillId="0" borderId="12" applyAlignment="1" pivotButton="0" quotePrefix="0" xfId="0">
      <alignment horizontal="left" vertical="center" wrapText="1"/>
    </xf>
    <xf numFmtId="0" fontId="14" fillId="0" borderId="8" applyAlignment="1" pivotButton="0" quotePrefix="0" xfId="0">
      <alignment vertical="center" wrapText="1"/>
    </xf>
    <xf numFmtId="0" fontId="14" fillId="0" borderId="10" applyAlignment="1" pivotButton="0" quotePrefix="0" xfId="0">
      <alignment horizontal="left" vertical="center" wrapText="1"/>
    </xf>
    <xf numFmtId="0" fontId="13" fillId="8" borderId="12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8" applyAlignment="1" pivotButton="0" quotePrefix="0" xfId="0">
      <alignment horizontal="left" vertical="center" wrapText="1"/>
    </xf>
    <xf numFmtId="0" fontId="14" fillId="0" borderId="16" applyAlignment="1" pivotButton="0" quotePrefix="0" xfId="0">
      <alignment horizontal="left" vertical="center" wrapText="1"/>
    </xf>
    <xf numFmtId="0" fontId="14" fillId="0" borderId="13" applyAlignment="1" pivotButton="0" quotePrefix="0" xfId="0">
      <alignment vertical="center" wrapText="1"/>
    </xf>
    <xf numFmtId="0" fontId="14" fillId="0" borderId="11" applyAlignment="1" pivotButton="0" quotePrefix="0" xfId="0">
      <alignment vertical="center" wrapText="1"/>
    </xf>
    <xf numFmtId="0" fontId="13" fillId="8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3" fillId="8" borderId="14" applyAlignment="1" pivotButton="0" quotePrefix="0" xfId="0">
      <alignment horizontal="center" vertical="center" wrapText="1"/>
    </xf>
    <xf numFmtId="0" fontId="14" fillId="0" borderId="13" applyAlignment="1" pivotButton="0" quotePrefix="0" xfId="0">
      <alignment horizontal="center" vertical="center" wrapText="1"/>
    </xf>
    <xf numFmtId="0" fontId="14" fillId="10" borderId="4" applyAlignment="1" pivotButton="0" quotePrefix="0" xfId="0">
      <alignment horizontal="left" vertical="center" wrapText="1"/>
    </xf>
    <xf numFmtId="0" fontId="14" fillId="0" borderId="10" applyAlignment="1" pivotButton="0" quotePrefix="0" xfId="0">
      <alignment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0" fontId="13" fillId="8" borderId="12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4" fillId="0" borderId="4" applyAlignment="1" pivotButton="0" quotePrefix="0" xfId="0">
      <alignment horizontal="center" vertical="center" wrapText="1"/>
    </xf>
    <xf numFmtId="0" fontId="16" fillId="11" borderId="20" applyAlignment="1" pivotButton="0" quotePrefix="0" xfId="0">
      <alignment horizontal="center" vertical="center" wrapText="1"/>
    </xf>
    <xf numFmtId="0" fontId="0" fillId="11" borderId="20" pivotButton="0" quotePrefix="0" xfId="0"/>
    <xf numFmtId="0" fontId="16" fillId="12" borderId="20" applyAlignment="1" pivotButton="0" quotePrefix="0" xfId="0">
      <alignment horizontal="center" vertical="center" wrapText="1"/>
    </xf>
    <xf numFmtId="0" fontId="16" fillId="13" borderId="20" applyAlignment="1" pivotButton="0" quotePrefix="0" xfId="0">
      <alignment horizontal="center" vertical="center" wrapText="1"/>
    </xf>
    <xf numFmtId="0" fontId="0" fillId="13" borderId="20" pivotButton="0" quotePrefix="0" xfId="0"/>
    <xf numFmtId="0" fontId="0" fillId="12" borderId="20" pivotButton="0" quotePrefix="0" xfId="0"/>
    <xf numFmtId="0" fontId="17" fillId="11" borderId="20" applyAlignment="1" pivotButton="0" quotePrefix="0" xfId="0">
      <alignment horizontal="center" vertical="center" wrapText="1"/>
    </xf>
    <xf numFmtId="0" fontId="17" fillId="12" borderId="20" applyAlignment="1" pivotButton="0" quotePrefix="0" xfId="0">
      <alignment horizontal="center" vertical="center" wrapText="1"/>
    </xf>
    <xf numFmtId="0" fontId="17" fillId="13" borderId="20" applyAlignment="1" pivotButton="0" quotePrefix="0" xfId="0">
      <alignment horizontal="center" vertical="center" wrapText="1"/>
    </xf>
    <xf numFmtId="0" fontId="19" fillId="11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20" fillId="0" borderId="20" applyAlignment="1" pivotButton="0" quotePrefix="0" xfId="0">
      <alignment horizontal="left" vertical="center" wrapText="1"/>
    </xf>
    <xf numFmtId="0" fontId="21" fillId="0" borderId="20" applyAlignment="1" pivotButton="0" quotePrefix="0" xfId="0">
      <alignment horizontal="center" vertical="center" wrapText="1"/>
    </xf>
    <xf numFmtId="0" fontId="18" fillId="15" borderId="20" applyAlignment="1" pivotButton="0" quotePrefix="0" xfId="0">
      <alignment horizontal="center" vertical="center" wrapText="1"/>
    </xf>
    <xf numFmtId="0" fontId="18" fillId="16" borderId="20" applyAlignment="1" pivotButton="0" quotePrefix="0" xfId="0">
      <alignment horizontal="left" vertical="center" wrapText="1"/>
    </xf>
    <xf numFmtId="0" fontId="22" fillId="16" borderId="20" applyAlignment="1" pivotButton="0" quotePrefix="0" xfId="0">
      <alignment horizontal="center" vertical="center" wrapText="1"/>
    </xf>
    <xf numFmtId="0" fontId="18" fillId="17" borderId="20" applyAlignment="1" pivotButton="0" quotePrefix="0" xfId="0">
      <alignment horizontal="center" vertical="center" wrapText="1"/>
    </xf>
    <xf numFmtId="0" fontId="18" fillId="18" borderId="20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24" fillId="0" borderId="30" pivotButton="0" quotePrefix="0" xfId="0"/>
    <xf numFmtId="0" fontId="24" fillId="0" borderId="30" applyAlignment="1" pivotButton="0" quotePrefix="0" xfId="0">
      <alignment horizontal="center" vertical="center" wrapText="1"/>
    </xf>
    <xf numFmtId="0" fontId="24" fillId="0" borderId="30" applyAlignment="1" pivotButton="0" quotePrefix="0" xfId="0">
      <alignment horizontal="left" vertical="center" wrapText="1"/>
    </xf>
    <xf numFmtId="0" fontId="18" fillId="19" borderId="20" applyAlignment="1" pivotButton="0" quotePrefix="0" xfId="0">
      <alignment horizontal="left" vertical="center" wrapText="1"/>
    </xf>
    <xf numFmtId="0" fontId="25" fillId="19" borderId="20" applyAlignment="1" pivotButton="0" quotePrefix="0" xfId="0">
      <alignment horizontal="center" vertical="center" wrapText="1"/>
    </xf>
    <xf numFmtId="164" fontId="24" fillId="0" borderId="30" applyAlignment="1" pivotButton="0" quotePrefix="0" xfId="0">
      <alignment horizontal="center" vertical="center" wrapText="1"/>
    </xf>
    <xf numFmtId="0" fontId="24" fillId="0" borderId="3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gouhuo.qq.com/content/detail/0_20250928163049_S1o9Vaz0N" TargetMode="External" Id="rId1" /><Relationship Type="http://schemas.openxmlformats.org/officeDocument/2006/relationships/hyperlink" Target="https://www.9game.cn/gwlrlr/11803558.html" TargetMode="External" Id="rId2" /><Relationship Type="http://schemas.openxmlformats.org/officeDocument/2006/relationships/hyperlink" Target="https://gl.ali213.net/html/2025-2/1616997.html" TargetMode="External" Id="rId3" /><Relationship Type="http://schemas.openxmlformats.org/officeDocument/2006/relationships/hyperlink" Target="https://www.gamersky.com/handbook/202410/1836587.shtml" TargetMode="External" Id="rId4" /><Relationship Type="http://schemas.openxmlformats.org/officeDocument/2006/relationships/hyperlink" Target="https://www.gamersky.com/handbook/202503/1896172.shtml" TargetMode="External" Id="rId5" /><Relationship Type="http://schemas.openxmlformats.org/officeDocument/2006/relationships/hyperlink" Target="https://ntgame.com/wutheringwaves/controls/" TargetMode="External" Id="rId6" /><Relationship Type="http://schemas.openxmlformats.org/officeDocument/2006/relationships/hyperlink" Target="https://zhidao.baidu.com/question/574515698126485364.html" TargetMode="External" Id="rId7" /><Relationship Type="http://schemas.openxmlformats.org/officeDocument/2006/relationships/hyperlink" Target="https://post.smzdm.com/zz/p/ako3z4l9/" TargetMode="External" Id="rId8" /><Relationship Type="http://schemas.openxmlformats.org/officeDocument/2006/relationships/hyperlink" Target="https://tieba.baidu.com/p/9025269279" TargetMode="External" Id="rId9" /><Relationship Type="http://schemas.openxmlformats.org/officeDocument/2006/relationships/hyperlink" Target="https://www.bilibili.com/video/BV1riKh66EaU" TargetMode="External" Id="rId10" /><Relationship Type="http://schemas.openxmlformats.org/officeDocument/2006/relationships/hyperlink" Target="https://bbs.nga.cn/read.php?tid=46245547" TargetMode="External" Id="rId11" /><Relationship Type="http://schemas.openxmlformats.org/officeDocument/2006/relationships/hyperlink" Target="https://blog.csdn.net/gitblog_00967/article/details/160707103" TargetMode="External" Id="rId12" /><Relationship Type="http://schemas.openxmlformats.org/officeDocument/2006/relationships/hyperlink" Target="https://bbs.mihoyo.com/dby/article/43522626" TargetMode="External" Id="rId13" /><Relationship Type="http://schemas.openxmlformats.org/officeDocument/2006/relationships/hyperlink" Target="https://wenku.baidu.com/view/7aaeba9f1d5f312b3169a45177232f60ddcce7aa.html" TargetMode="External" Id="rId14" /><Relationship Type="http://schemas.openxmlformats.org/officeDocument/2006/relationships/hyperlink" Target="https://gl.ali213.net/html/2025-6/1664575.html" TargetMode="External" Id="rId15" /><Relationship Type="http://schemas.openxmlformats.org/officeDocument/2006/relationships/hyperlink" Target="https://news.17173.com/content/08302024/112403533.shtml" TargetMode="External" Id="rId16" /><Relationship Type="http://schemas.openxmlformats.org/officeDocument/2006/relationships/hyperlink" Target="https://partner.steamgames.com/doc/steamdeck/compat" TargetMode="External" Id="rId17" /><Relationship Type="http://schemas.openxmlformats.org/officeDocument/2006/relationships/hyperlink" Target="https://developer.microsoft.com/en-us/games/resources/handheld-development/" TargetMode="External" Id="rId18" /><Relationship Type="http://schemas.openxmlformats.org/officeDocument/2006/relationships/hyperlink" Target="https://www.php.cn/faq/2669884.html" TargetMode="External" Id="rId19" /><Relationship Type="http://schemas.openxmlformats.org/officeDocument/2006/relationships/hyperlink" Target="https://post.smzdm.com/p/aww5dp4m/" TargetMode="External" Id="rId20" /><Relationship Type="http://schemas.openxmlformats.org/officeDocument/2006/relationships/hyperlink" Target="https://www.gamersky.com/handbook/202201/1452843.shtml" TargetMode="External" Id="rId21" /><Relationship Type="http://schemas.openxmlformats.org/officeDocument/2006/relationships/hyperlink" Target="https://wenku.baidu.com/view/b4c876e2e83a87c24028915f804d2b160a4e867d.html" TargetMode="External" Id="rId22" /><Relationship Type="http://schemas.openxmlformats.org/officeDocument/2006/relationships/hyperlink" Target="https://post.m.smzdm.com/zz/p/a447zrwl/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B39" sqref="B39"/>
    </sheetView>
  </sheetViews>
  <sheetFormatPr baseColWidth="8" defaultRowHeight="14"/>
  <cols>
    <col width="14" customWidth="1" min="1" max="1"/>
    <col width="110" customWidth="1" min="2" max="2"/>
  </cols>
  <sheetData>
    <row r="1" ht="26" customHeight="1">
      <c r="A1" s="20" t="inlineStr">
        <is>
          <t>条目</t>
        </is>
      </c>
      <c r="B1" s="20" t="inlineStr">
        <is>
          <t>内容</t>
        </is>
      </c>
    </row>
    <row r="2" ht="14.5" customHeight="1">
      <c r="A2" s="2" t="inlineStr">
        <is>
          <t>目标</t>
        </is>
      </c>
      <c r="B2" s="17" t="inlineStr">
        <is>
          <t>《怪物猎人:旅人》手机→PC端的功能差异清单与工作量评估。范围:输入与操控、快捷键显示、界面UIUX、画面与性能</t>
        </is>
      </c>
    </row>
    <row r="3" ht="14.5" customHeight="1">
      <c r="A3" s="2" t="inlineStr">
        <is>
          <t>对照组</t>
        </is>
      </c>
      <c r="B3" s="17" t="inlineStr">
        <is>
          <t>A:旅人(手机)↔荒野(PC);B:鸣潮(手机)↔鸣潮(PC);补充:原神/星铁/绝区零端手同服、崛起掌机→PC、Steam Deck与Xbox掌机规范</t>
        </is>
      </c>
    </row>
    <row r="4" ht="14.5" customHeight="1">
      <c r="A4" s="2" t="inlineStr">
        <is>
          <t>使用方式</t>
        </is>
      </c>
      <c r="B4" s="17" t="inlineStr">
        <is>
          <t>主表=「全量清单」,按大类/子类/优先级筛选;工作量改动只改K~O列或「假设参数」,汇总自动重算</t>
        </is>
      </c>
    </row>
    <row r="5" ht="14.5" customHeight="1">
      <c r="A5" s="2" t="inlineStr">
        <is>
          <t>估算口径</t>
        </is>
      </c>
      <c r="B5" s="17" t="inlineStr">
        <is>
          <t>单位人天;首版实现(不含多轮迭代);假设客户端已有UI框架但未做PC适配;汇总页含风险系数</t>
        </is>
      </c>
    </row>
    <row r="6" ht="14.5" customHeight="1">
      <c r="A6" s="2" t="inlineStr">
        <is>
          <t>角色</t>
        </is>
      </c>
      <c r="B6" s="17" t="inlineStr">
        <is>
          <t>策划/交互 | UI美术 | 客户端程序 | TA/引擎 | QA</t>
        </is>
      </c>
    </row>
    <row r="7" ht="14.5" customHeight="1">
      <c r="A7" s="2" t="inlineStr">
        <is>
          <t>复杂度</t>
        </is>
      </c>
      <c r="B7" s="17" t="inlineStr">
        <is>
          <t>S&lt;3人天 | M 3~10 | L 10~30 | XL &gt;30</t>
        </is>
      </c>
    </row>
    <row r="8" ht="14.5" customHeight="1">
      <c r="A8" s="2" t="inlineStr">
        <is>
          <t>蓝色数字</t>
        </is>
      </c>
      <c r="B8" s="17" t="inlineStr">
        <is>
          <t>「假设参数」中的蓝色数字为可调输入,修改后相关行与汇总自动变化</t>
        </is>
      </c>
    </row>
    <row r="9" ht="14.5" customHeight="1">
      <c r="A9" s="2" t="inlineStr">
        <is>
          <t>冲突1</t>
        </is>
      </c>
      <c r="B9" s="17" t="inlineStr">
        <is>
          <t>鸣潮闪避/跳跃:NTGame记闪避=空格;百度知道记跳跃=空格、闪避=Shift</t>
        </is>
      </c>
    </row>
    <row r="10" ht="14.5" customHeight="1">
      <c r="A10" s="2" t="inlineStr">
        <is>
          <t>冲突2</t>
        </is>
      </c>
      <c r="B10" s="17" t="inlineStr">
        <is>
          <t>鸣潮切换角色:1/2/3 vs F1~F4,疑为版本差异</t>
        </is>
      </c>
    </row>
    <row r="11" ht="14.5" customHeight="1">
      <c r="A11" s="2" t="inlineStr">
        <is>
          <t>冲突3</t>
        </is>
      </c>
      <c r="B11" s="17" t="inlineStr">
        <is>
          <t>鸣潮钩索:鼠标中键 vs Tab</t>
        </is>
      </c>
    </row>
    <row r="12" ht="14.5" customHeight="1">
      <c r="A12" s="2" t="inlineStr">
        <is>
          <t>冲突4</t>
        </is>
      </c>
      <c r="B12" s="17" t="inlineStr">
        <is>
          <t>荒野集中弱点攻击/救难信号/投射器发射仍待确认</t>
        </is>
      </c>
    </row>
    <row r="13" ht="14.5" customHeight="1">
      <c r="A13" s="2" t="inlineStr">
        <is>
          <t>最大不确定性</t>
        </is>
      </c>
      <c r="B13" s="17" t="inlineStr">
        <is>
          <t>①旅人引擎与现有输入/UI框架状态 ②实际界面数量 ③武器数量 ④是否上Steam(决定Steam Deck/Steam Input相关项)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7.54" customWidth="1" min="2" max="2"/>
    <col width="31.18" customWidth="1" min="3" max="3"/>
    <col width="59.09" customWidth="1" min="4" max="4"/>
    <col width="43.54" customWidth="1" min="5" max="5"/>
    <col width="20" customWidth="1" min="6" max="6"/>
    <col width="12" customWidth="1" min="7" max="7"/>
    <col width="46" customWidth="1" min="8" max="8"/>
    <col width="9" customWidth="1" min="9" max="9"/>
  </cols>
  <sheetData>
    <row r="1" ht="16" customHeight="1">
      <c r="A1" s="73" t="inlineStr">
        <is>
          <t>特性需求</t>
        </is>
      </c>
      <c r="B1" s="74" t="n"/>
      <c r="C1" s="74" t="n"/>
      <c r="D1" s="74" t="n"/>
      <c r="E1" s="75" t="inlineStr">
        <is>
          <t>需求描述</t>
        </is>
      </c>
      <c r="F1" s="76" t="inlineStr">
        <is>
          <t>对照与标记(绿=本次新增,蓝=本次改写为通用检查清单)</t>
        </is>
      </c>
      <c r="G1" s="77" t="n"/>
      <c r="H1" s="77" t="n"/>
      <c r="I1" s="99" t="n"/>
    </row>
    <row r="2">
      <c r="A2" s="74" t="n"/>
      <c r="B2" s="74" t="n"/>
      <c r="C2" s="74" t="n"/>
      <c r="D2" s="74" t="n"/>
      <c r="E2" s="78" t="n"/>
      <c r="F2" s="77" t="n"/>
      <c r="G2" s="77" t="n"/>
      <c r="H2" s="77" t="n"/>
      <c r="I2" s="99" t="n"/>
    </row>
    <row r="3" ht="49.5" customHeight="1">
      <c r="A3" s="79" t="inlineStr">
        <is>
          <t>Feature Team Scope</t>
        </is>
      </c>
      <c r="B3" s="79" t="inlineStr">
        <is>
          <t>Super-Epic</t>
        </is>
      </c>
      <c r="C3" s="79" t="inlineStr">
        <is>
          <t>Epic</t>
        </is>
      </c>
      <c r="D3" s="79" t="inlineStr">
        <is>
          <t>Summary</t>
        </is>
      </c>
      <c r="E3" s="80" t="n"/>
      <c r="F3" s="81" t="inlineStr">
        <is>
          <t>对照全量清单编号</t>
        </is>
      </c>
      <c r="G3" s="81" t="inlineStr">
        <is>
          <t>本次标记</t>
        </is>
      </c>
      <c r="H3" s="81" t="inlineStr">
        <is>
          <t>备注</t>
        </is>
      </c>
      <c r="I3" s="100" t="n"/>
    </row>
    <row r="4" ht="16" customHeight="1">
      <c r="A4" s="82" t="inlineStr">
        <is>
          <t>Cross相关</t>
        </is>
      </c>
      <c r="B4" s="83" t="inlineStr">
        <is>
          <t>场景资产</t>
        </is>
      </c>
      <c r="C4" s="84" t="inlineStr">
        <is>
          <t>场景资产迁移</t>
        </is>
      </c>
      <c r="D4" s="84" t="inlineStr">
        <is>
          <t>地形cross,并确保打包正常</t>
        </is>
      </c>
      <c r="E4" s="84" t="inlineStr">
        <is>
          <t>让打包后的PC和手机内存和内容能够完全隔离</t>
        </is>
      </c>
      <c r="F4" s="83" t="inlineStr">
        <is>
          <t>4.3.6</t>
        </is>
      </c>
      <c r="G4" s="83" t="n"/>
      <c r="H4" s="84" t="n"/>
      <c r="I4" s="101" t="n"/>
    </row>
    <row r="5" ht="16" customHeight="1">
      <c r="A5" s="86" t="n"/>
      <c r="B5" s="86" t="n"/>
      <c r="C5" s="86" t="n"/>
      <c r="D5" s="84" t="inlineStr">
        <is>
          <t>PCG Cross,并确保打包正常</t>
        </is>
      </c>
      <c r="E5" s="84" t="n"/>
      <c r="F5" s="83" t="inlineStr">
        <is>
          <t>4.3.6</t>
        </is>
      </c>
      <c r="G5" s="83" t="n"/>
      <c r="H5" s="84" t="n"/>
      <c r="I5" s="101" t="n"/>
    </row>
    <row r="6" ht="16" customHeight="1">
      <c r="A6" s="86" t="n"/>
      <c r="B6" s="86" t="n"/>
      <c r="C6" s="87" t="n"/>
      <c r="D6" s="84" t="inlineStr">
        <is>
          <t>贴花cross,并确保打包正常</t>
        </is>
      </c>
      <c r="E6" s="84" t="n"/>
      <c r="F6" s="83" t="inlineStr">
        <is>
          <t>4.3.6</t>
        </is>
      </c>
      <c r="G6" s="83" t="n"/>
      <c r="H6" s="84" t="n"/>
      <c r="I6" s="101" t="n"/>
    </row>
    <row r="7" ht="16" customHeight="1">
      <c r="A7" s="86" t="n"/>
      <c r="B7" s="87" t="n"/>
      <c r="C7" s="84" t="inlineStr">
        <is>
          <t>配置检查</t>
        </is>
      </c>
      <c r="D7" s="84" t="inlineStr">
        <is>
          <t>内容隔离后的资产管理规则设计</t>
        </is>
      </c>
      <c r="E7" s="84" t="n"/>
      <c r="F7" s="83" t="inlineStr">
        <is>
          <t>4.3.6</t>
        </is>
      </c>
      <c r="G7" s="83" t="n"/>
      <c r="H7" s="84" t="n"/>
      <c r="I7" s="101" t="n"/>
    </row>
    <row r="8" ht="30" customHeight="1">
      <c r="A8" s="86" t="n"/>
      <c r="B8" s="83" t="inlineStr">
        <is>
          <t>PC灯光</t>
        </is>
      </c>
      <c r="C8" s="84" t="inlineStr">
        <is>
          <t>场景灯光相关</t>
        </is>
      </c>
      <c r="D8" s="84" t="inlineStr">
        <is>
          <t>场景Cross,并确保打包正常
（关卡、资产、材质）</t>
        </is>
      </c>
      <c r="E8" s="84" t="n"/>
      <c r="F8" s="83" t="inlineStr">
        <is>
          <t>4.1.3</t>
        </is>
      </c>
      <c r="G8" s="83" t="n"/>
      <c r="H8" s="84" t="n"/>
      <c r="I8" s="101" t="n"/>
    </row>
    <row r="9" ht="16" customHeight="1">
      <c r="A9" s="86" t="n"/>
      <c r="B9" s="87" t="n"/>
      <c r="C9" s="84" t="inlineStr">
        <is>
          <t>配置检查</t>
        </is>
      </c>
      <c r="D9" s="84" t="inlineStr">
        <is>
          <t>检查PC灯光配置与手机端隔离,PC端独立光照质量档位</t>
        </is>
      </c>
      <c r="E9" s="84" t="n"/>
      <c r="F9" s="83" t="inlineStr">
        <is>
          <t>4.1.3</t>
        </is>
      </c>
      <c r="G9" s="83" t="n"/>
      <c r="H9" s="84" t="n"/>
      <c r="I9" s="101" t="n"/>
    </row>
    <row r="10" ht="16" customHeight="1">
      <c r="A10" s="86" t="n"/>
      <c r="B10" s="83" t="inlineStr">
        <is>
          <t>角色资产</t>
        </is>
      </c>
      <c r="C10" s="84" t="inlineStr">
        <is>
          <t>角色模型资产迁移</t>
        </is>
      </c>
      <c r="D10" s="84" t="inlineStr">
        <is>
          <t>角色高精度模型/LOD/贴图迁移至PC包,与手机包隔离</t>
        </is>
      </c>
      <c r="E10" s="84" t="n"/>
      <c r="F10" s="83" t="inlineStr">
        <is>
          <t>4.1.2</t>
        </is>
      </c>
      <c r="G10" s="83" t="n"/>
      <c r="H10" s="84" t="n"/>
      <c r="I10" s="101" t="n"/>
    </row>
    <row r="11" ht="16" customHeight="1">
      <c r="A11" s="86" t="n"/>
      <c r="B11" s="87" t="n"/>
      <c r="C11" s="84" t="inlineStr">
        <is>
          <t>配置刷新</t>
        </is>
      </c>
      <c r="D11" s="84" t="inlineStr">
        <is>
          <t>刷新角色资产平台配置(LOD、材质质量档)</t>
        </is>
      </c>
      <c r="E11" s="84" t="n"/>
      <c r="F11" s="83" t="inlineStr">
        <is>
          <t>4.1.2</t>
        </is>
      </c>
      <c r="G11" s="83" t="n"/>
      <c r="H11" s="84" t="n"/>
      <c r="I11" s="101" t="n"/>
    </row>
    <row r="12" ht="16" customHeight="1">
      <c r="A12" s="86" t="n"/>
      <c r="B12" s="83" t="inlineStr">
        <is>
          <t>动画资产</t>
        </is>
      </c>
      <c r="C12" s="84" t="inlineStr">
        <is>
          <t>动画资产迁移</t>
        </is>
      </c>
      <c r="D12" s="84" t="inlineStr">
        <is>
          <t>动画资产迁移PC;验证120/144帧下动画插值、判定与表现</t>
        </is>
      </c>
      <c r="E12" s="84" t="n"/>
      <c r="F12" s="83" t="inlineStr">
        <is>
          <t>4.2.4</t>
        </is>
      </c>
      <c r="G12" s="83" t="n"/>
      <c r="H12" s="84" t="n"/>
      <c r="I12" s="101" t="n"/>
    </row>
    <row r="13" ht="16" customHeight="1">
      <c r="A13" s="86" t="n"/>
      <c r="B13" s="87" t="n"/>
      <c r="C13" s="84" t="inlineStr">
        <is>
          <t>配置刷新</t>
        </is>
      </c>
      <c r="D13" s="84" t="inlineStr">
        <is>
          <t>刷新动画压缩、采样率等平台配置</t>
        </is>
      </c>
      <c r="E13" s="84" t="n"/>
      <c r="F13" s="83" t="n"/>
      <c r="G13" s="83" t="n"/>
      <c r="H13" s="84" t="n"/>
      <c r="I13" s="101" t="n"/>
    </row>
    <row r="14" ht="16" customHeight="1">
      <c r="A14" s="86" t="n"/>
      <c r="B14" s="83" t="inlineStr">
        <is>
          <t>特效资产</t>
        </is>
      </c>
      <c r="C14" s="84" t="inlineStr">
        <is>
          <t>特效资产迁移</t>
        </is>
      </c>
      <c r="D14" s="84" t="inlineStr">
        <is>
          <t>特效资产迁移PC,按画质档分级</t>
        </is>
      </c>
      <c r="E14" s="84" t="n"/>
      <c r="F14" s="83" t="inlineStr">
        <is>
          <t>4.1.2</t>
        </is>
      </c>
      <c r="G14" s="83" t="n"/>
      <c r="H14" s="84" t="n"/>
      <c r="I14" s="101" t="n"/>
    </row>
    <row r="15" ht="16" customHeight="1">
      <c r="A15" s="86" t="n"/>
      <c r="B15" s="87" t="n"/>
      <c r="C15" s="84" t="inlineStr">
        <is>
          <t>相关配置刷新</t>
        </is>
      </c>
      <c r="D15" s="84" t="inlineStr">
        <is>
          <t>刷新特效LOD、粒子数量上限等平台配置</t>
        </is>
      </c>
      <c r="E15" s="84" t="n"/>
      <c r="F15" s="83" t="inlineStr">
        <is>
          <t>4.1.2</t>
        </is>
      </c>
      <c r="G15" s="83" t="n"/>
      <c r="H15" s="84" t="n"/>
      <c r="I15" s="101" t="n"/>
    </row>
    <row r="16" ht="30" customHeight="1">
      <c r="A16" s="86" t="n"/>
      <c r="B16" s="83" t="inlineStr">
        <is>
          <t>剧情过场</t>
        </is>
      </c>
      <c r="C16" s="84" t="inlineStr">
        <is>
          <t>CutScene</t>
        </is>
      </c>
      <c r="D16" s="84" t="inlineStr">
        <is>
          <t>过场高码率/高分辨率输出,超宽屏黑边与HUD处理</t>
        </is>
      </c>
      <c r="E16" s="84" t="n"/>
      <c r="F16" s="83" t="inlineStr">
        <is>
          <t>4.3.7,4.3.8</t>
        </is>
      </c>
      <c r="G16" s="83" t="n"/>
      <c r="H16" s="84" t="n"/>
      <c r="I16" s="101" t="n"/>
    </row>
    <row r="17" ht="16" customHeight="1">
      <c r="A17" s="86" t="n"/>
      <c r="B17" s="86" t="n"/>
      <c r="C17" s="84" t="inlineStr">
        <is>
          <t>sequence</t>
        </is>
      </c>
      <c r="D17" s="84" t="inlineStr">
        <is>
          <t>实时过场sequence在高帧率/超宽屏下的相机与表现校验</t>
        </is>
      </c>
      <c r="E17" s="84" t="n"/>
      <c r="F17" s="83" t="inlineStr">
        <is>
          <t>4.3.7</t>
        </is>
      </c>
      <c r="G17" s="83" t="n"/>
      <c r="H17" s="84" t="n"/>
      <c r="I17" s="101" t="n"/>
    </row>
    <row r="18" ht="16" customHeight="1">
      <c r="A18" s="86" t="n"/>
      <c r="B18" s="87" t="n"/>
      <c r="C18" s="84" t="inlineStr">
        <is>
          <t>PCGDialogue剧情</t>
        </is>
      </c>
      <c r="D18" s="84" t="inlineStr">
        <is>
          <t>对话推进/自动/跳过/回看的键鼠手柄快捷键与提示</t>
        </is>
      </c>
      <c r="E18" s="84" t="n"/>
      <c r="F18" s="83" t="inlineStr">
        <is>
          <t>2.2.6</t>
        </is>
      </c>
      <c r="G18" s="83" t="n"/>
      <c r="H18" s="84" t="n"/>
      <c r="I18" s="101" t="n"/>
    </row>
    <row r="19" ht="16" customHeight="1">
      <c r="A19" s="86" t="n"/>
      <c r="B19" s="83" t="inlineStr">
        <is>
          <t>工具需求</t>
        </is>
      </c>
      <c r="C19" s="84" t="inlineStr">
        <is>
          <t>Cross资产迁移工具</t>
        </is>
      </c>
      <c r="D19" s="84" t="inlineStr">
        <is>
          <t>批量迁移、平台标记与PC/手机资产差异比对工具</t>
        </is>
      </c>
      <c r="E19" s="84" t="n"/>
      <c r="F19" s="83" t="n"/>
      <c r="G19" s="83" t="n"/>
      <c r="H19" s="84" t="n"/>
      <c r="I19" s="101" t="n"/>
    </row>
    <row r="20" ht="16" customHeight="1">
      <c r="A20" s="87" t="n"/>
      <c r="B20" s="87" t="n"/>
      <c r="C20" s="84" t="inlineStr">
        <is>
          <t>策划配置检查工具</t>
        </is>
      </c>
      <c r="D20" s="84" t="inlineStr">
        <is>
          <t>检查PC/手机配置隔离、按键绑定与按键提示配置的完整性</t>
        </is>
      </c>
      <c r="E20" s="84" t="n"/>
      <c r="F20" s="83" t="n"/>
      <c r="G20" s="83" t="n"/>
      <c r="H20" s="84" t="n"/>
      <c r="I20" s="101" t="n"/>
    </row>
    <row r="21" ht="44" customHeight="1">
      <c r="A21" s="82" t="inlineStr">
        <is>
          <t>基建支持</t>
        </is>
      </c>
      <c r="B21" s="83" t="inlineStr">
        <is>
          <t>引擎相关</t>
        </is>
      </c>
      <c r="C21" s="84" t="n"/>
      <c r="D21" s="84" t="inlineStr">
        <is>
          <t>PC输入API、窗口/显示模式、着色器预编译、超分/帧生成、低延迟等引擎侧支持</t>
        </is>
      </c>
      <c r="E21" s="84" t="n"/>
      <c r="F21" s="83" t="inlineStr">
        <is>
          <t>1.1.5,3.1.5,4.2.5,4.1.5,4.2.2</t>
        </is>
      </c>
      <c r="G21" s="83" t="n"/>
      <c r="H21" s="84" t="n"/>
      <c r="I21" s="101" t="n"/>
    </row>
    <row r="22" ht="16" customHeight="1">
      <c r="A22" s="86" t="n"/>
      <c r="B22" s="86" t="n"/>
      <c r="C22" s="84" t="inlineStr">
        <is>
          <t>光线追踪</t>
        </is>
      </c>
      <c r="D22" s="84" t="inlineStr">
        <is>
          <t>可选光追</t>
        </is>
      </c>
      <c r="E22" s="84" t="n"/>
      <c r="F22" s="83" t="inlineStr">
        <is>
          <t>4.1.6</t>
        </is>
      </c>
      <c r="G22" s="83" t="n"/>
      <c r="H22" s="84" t="n"/>
      <c r="I22" s="101" t="n"/>
    </row>
    <row r="23" ht="16" customHeight="1">
      <c r="A23" s="86" t="n"/>
      <c r="B23" s="87" t="n"/>
      <c r="C23" s="84" t="inlineStr">
        <is>
          <t>菜单/后台限帧</t>
        </is>
      </c>
      <c r="D23" s="84" t="inlineStr">
        <is>
          <t>菜单与后台降帧</t>
        </is>
      </c>
      <c r="E23" s="84" t="n"/>
      <c r="F23" s="83" t="inlineStr">
        <is>
          <t>4.2.6</t>
        </is>
      </c>
      <c r="G23" s="83" t="n"/>
      <c r="H23" s="84" t="n"/>
      <c r="I23" s="101" t="n"/>
    </row>
    <row r="24" ht="30" customHeight="1">
      <c r="A24" s="86" t="n"/>
      <c r="B24" s="83" t="inlineStr">
        <is>
          <t>美术相关</t>
        </is>
      </c>
      <c r="C24" s="84" t="n"/>
      <c r="D24" s="84" t="inlineStr">
        <is>
          <t>UI与图标资源高清化;Xbox/DualSense/键鼠三套按键图标资源</t>
        </is>
      </c>
      <c r="E24" s="84" t="n"/>
      <c r="F24" s="83" t="inlineStr">
        <is>
          <t>3.1.8,2.4.2</t>
        </is>
      </c>
      <c r="G24" s="83" t="n"/>
      <c r="H24" s="84" t="n"/>
      <c r="I24" s="101" t="n"/>
    </row>
    <row r="25" ht="30" customHeight="1">
      <c r="A25" s="86" t="n"/>
      <c r="B25" s="83" t="inlineStr">
        <is>
          <t>性能专项</t>
        </is>
      </c>
      <c r="C25" s="84" t="inlineStr">
        <is>
          <t>性能Benchmark</t>
        </is>
      </c>
      <c r="D25" s="84" t="n">
        <v>3060</v>
      </c>
      <c r="E25" s="84" t="n"/>
      <c r="F25" s="83" t="inlineStr">
        <is>
          <t>4.3.1,4.3.5</t>
        </is>
      </c>
      <c r="G25" s="83" t="n"/>
      <c r="H25" s="84" t="n"/>
      <c r="I25" s="101" t="n"/>
    </row>
    <row r="26" ht="16" customHeight="1">
      <c r="A26" s="86" t="n"/>
      <c r="B26" s="86" t="n"/>
      <c r="C26" s="84" t="inlineStr">
        <is>
          <t>内存/显存/流式加载</t>
        </is>
      </c>
      <c r="D26" s="84" t="inlineStr">
        <is>
          <t>资源分包、占用监控、流式加载</t>
        </is>
      </c>
      <c r="E26" s="84" t="n"/>
      <c r="F26" s="83" t="inlineStr">
        <is>
          <t>4.3.2</t>
        </is>
      </c>
      <c r="G26" s="83" t="n"/>
      <c r="H26" s="84" t="n"/>
      <c r="I26" s="101" t="n"/>
    </row>
    <row r="27" ht="16" customHeight="1">
      <c r="A27" s="86" t="n"/>
      <c r="B27" s="87" t="n"/>
      <c r="C27" s="84" t="inlineStr">
        <is>
          <t>长时运行稳定性</t>
        </is>
      </c>
      <c r="D27" s="84" t="inlineStr">
        <is>
          <t>显存泄漏/性能漂移</t>
        </is>
      </c>
      <c r="E27" s="84" t="n"/>
      <c r="F27" s="83" t="inlineStr">
        <is>
          <t>4.3.3</t>
        </is>
      </c>
      <c r="G27" s="83" t="n"/>
      <c r="H27" s="84" t="n"/>
      <c r="I27" s="101" t="n"/>
    </row>
    <row r="28" ht="30" customHeight="1">
      <c r="A28" s="86" t="n"/>
      <c r="B28" s="83" t="inlineStr">
        <is>
          <t>环境交互专项</t>
        </is>
      </c>
      <c r="C28" s="84" t="n"/>
      <c r="D28" s="84" t="inlineStr">
        <is>
          <t>滑索/弹射器/鼓风机等建造交互的键鼠手柄输入与提示</t>
        </is>
      </c>
      <c r="E28" s="84" t="n"/>
      <c r="F28" s="83" t="inlineStr">
        <is>
          <t>1.2.6,2.2.2</t>
        </is>
      </c>
      <c r="G28" s="83" t="n"/>
      <c r="H28" s="84" t="n"/>
      <c r="I28" s="101" t="n"/>
    </row>
    <row r="29" ht="30" customHeight="1">
      <c r="A29" s="86" t="n"/>
      <c r="B29" s="83" t="inlineStr">
        <is>
          <t>数据与稳定性</t>
        </is>
      </c>
      <c r="C29" s="91" t="inlineStr">
        <is>
          <t>数据埋点</t>
        </is>
      </c>
      <c r="D29" s="91" t="inlineStr">
        <is>
          <t>输入设备占比(键鼠/手柄)、PC硬件分布、帧率性能、改键与设置项选择率</t>
        </is>
      </c>
      <c r="E29" s="84" t="n"/>
      <c r="F29" s="83" t="inlineStr"/>
      <c r="G29" s="92" t="inlineStr">
        <is>
          <t>新增</t>
        </is>
      </c>
      <c r="H29" s="84" t="inlineStr">
        <is>
          <t>用于后续调整默认键位与画质档位</t>
        </is>
      </c>
      <c r="I29" s="101" t="n"/>
    </row>
    <row r="30" ht="16" customHeight="1">
      <c r="A30" s="87" t="n"/>
      <c r="B30" s="87" t="n"/>
      <c r="C30" s="91" t="inlineStr">
        <is>
          <t>崩溃上报与配置检测</t>
        </is>
      </c>
      <c r="D30" s="91" t="inlineStr">
        <is>
          <t>崩溃文件收集、显卡驱动版本检测、低于最低配置时提示</t>
        </is>
      </c>
      <c r="E30" s="84" t="n"/>
      <c r="F30" s="83" t="inlineStr"/>
      <c r="G30" s="92" t="inlineStr">
        <is>
          <t>新增</t>
        </is>
      </c>
      <c r="H30" s="84" t="inlineStr"/>
      <c r="I30" s="101" t="n"/>
    </row>
    <row r="31" ht="44" customHeight="1">
      <c r="A31" s="82" t="inlineStr">
        <is>
          <t>端手功能
体验差异</t>
        </is>
      </c>
      <c r="B31" s="83" t="inlineStr">
        <is>
          <t>通用</t>
        </is>
      </c>
      <c r="C31" s="84" t="inlineStr">
        <is>
          <t>快捷键显示逻辑</t>
        </is>
      </c>
      <c r="D31" s="84" t="inlineStr">
        <is>
          <t>在主界面、交互界面、系统界面等合适的地方显示各类快捷键的ICON</t>
        </is>
      </c>
      <c r="E31" s="84" t="inlineStr">
        <is>
          <t>特殊需求，11月PC展示视频相关</t>
        </is>
      </c>
      <c r="F31" s="83" t="inlineStr">
        <is>
          <t>2.1.1,2.1.2,2.2.1,2.2.3,2.3.2</t>
        </is>
      </c>
      <c r="G31" s="83" t="n"/>
      <c r="H31" s="84" t="n"/>
      <c r="I31" s="101" t="n"/>
    </row>
    <row r="32" ht="30" customHeight="1">
      <c r="A32" s="86" t="n"/>
      <c r="B32" s="86" t="n"/>
      <c r="C32" s="84" t="inlineStr">
        <is>
          <t>3C操作提示</t>
        </is>
      </c>
      <c r="D32" s="84" t="inlineStr">
        <is>
          <t>在主界面常驻显示当前可以执行的角色3D操作功能键</t>
        </is>
      </c>
      <c r="E32" s="84" t="inlineStr">
        <is>
          <t>特殊需求，11月PC展示视频相关</t>
        </is>
      </c>
      <c r="F32" s="83" t="inlineStr">
        <is>
          <t>2.1.1,3.2.1</t>
        </is>
      </c>
      <c r="G32" s="83" t="n"/>
      <c r="H32" s="84" t="n"/>
      <c r="I32" s="101" t="n"/>
    </row>
    <row r="33" ht="30" customHeight="1">
      <c r="A33" s="86" t="n"/>
      <c r="B33" s="86" t="n"/>
      <c r="C33" s="84" t="inlineStr">
        <is>
          <t>键鼠/手柄</t>
        </is>
      </c>
      <c r="D33" s="84" t="inlineStr">
        <is>
          <t>键盘鼠标快捷键自适应切换显示</t>
        </is>
      </c>
      <c r="E33" s="84" t="n"/>
      <c r="F33" s="83" t="inlineStr">
        <is>
          <t>1.1.2,2.4.1,2.4.4</t>
        </is>
      </c>
      <c r="G33" s="83" t="n"/>
      <c r="H33" s="84" t="n"/>
      <c r="I33" s="101" t="n"/>
    </row>
    <row r="34" ht="30" customHeight="1">
      <c r="A34" s="86" t="n"/>
      <c r="B34" s="86" t="n"/>
      <c r="C34" s="84" t="inlineStr">
        <is>
          <t>快捷键自定义功能</t>
        </is>
      </c>
      <c r="D34" s="84" t="inlineStr">
        <is>
          <t>键鼠+手柄改键界面、冲突检测、恢复默认、分设备保存</t>
        </is>
      </c>
      <c r="E34" s="84" t="n"/>
      <c r="F34" s="83" t="inlineStr">
        <is>
          <t>1.5.1,1.5.4,1.5.5</t>
        </is>
      </c>
      <c r="G34" s="83" t="n"/>
      <c r="H34" s="84" t="n"/>
      <c r="I34" s="101" t="n"/>
    </row>
    <row r="35" ht="30" customHeight="1">
      <c r="A35" s="86" t="n"/>
      <c r="B35" s="86" t="n"/>
      <c r="C35" s="84" t="inlineStr">
        <is>
          <t>输入设备谱系</t>
        </is>
      </c>
      <c r="D35" s="84" t="inlineStr">
        <is>
          <t>确定PC端设备矩阵:键鼠+Xbox/DualSense/第三方手柄,是否含陀螺仪/震动</t>
        </is>
      </c>
      <c r="E35" s="84" t="n"/>
      <c r="F35" s="83" t="inlineStr">
        <is>
          <t>1.1.1</t>
        </is>
      </c>
      <c r="G35" s="83" t="n"/>
      <c r="H35" s="84" t="n"/>
      <c r="I35" s="101" t="n"/>
    </row>
    <row r="36" ht="16" customHeight="1">
      <c r="A36" s="86" t="n"/>
      <c r="B36" s="86" t="n"/>
      <c r="C36" s="84" t="inlineStr">
        <is>
          <t>多显示器/串流下设备判定</t>
        </is>
      </c>
      <c r="D36" s="84" t="inlineStr">
        <is>
          <t>输入设备与显示设备解耦,避免串流/多屏误判</t>
        </is>
      </c>
      <c r="E36" s="84" t="n"/>
      <c r="F36" s="83" t="inlineStr">
        <is>
          <t>1.1.3</t>
        </is>
      </c>
      <c r="G36" s="83" t="n"/>
      <c r="H36" s="84" t="n"/>
      <c r="I36" s="101" t="n"/>
    </row>
    <row r="37" ht="30" customHeight="1">
      <c r="A37" s="86" t="n"/>
      <c r="B37" s="86" t="n"/>
      <c r="C37" s="84" t="inlineStr">
        <is>
          <t>手柄型号识别</t>
        </is>
      </c>
      <c r="D37" s="84" t="inlineStr">
        <is>
          <t>按VID/PID识别Xbox/DualSense/Switch Pro,未知手柄回退Xbox图标</t>
        </is>
      </c>
      <c r="E37" s="84" t="n"/>
      <c r="F37" s="83" t="inlineStr">
        <is>
          <t>1.1.4</t>
        </is>
      </c>
      <c r="G37" s="83" t="n"/>
      <c r="H37" s="84" t="n"/>
      <c r="I37" s="101" t="n"/>
    </row>
    <row r="38" ht="30" customHeight="1">
      <c r="A38" s="86" t="n"/>
      <c r="B38" s="86" t="n"/>
      <c r="C38" s="84" t="inlineStr">
        <is>
          <t>PC触屏设备(触屏笔记本/二合一)</t>
        </is>
      </c>
      <c r="D38" s="84" t="inlineStr">
        <is>
          <t>决定PC端是否保留触屏UI作为第三输入模式</t>
        </is>
      </c>
      <c r="E38" s="84" t="n"/>
      <c r="F38" s="83" t="inlineStr">
        <is>
          <t>1.1.7</t>
        </is>
      </c>
      <c r="G38" s="83" t="n"/>
      <c r="H38" s="84" t="n"/>
      <c r="I38" s="101" t="n"/>
    </row>
    <row r="39" ht="16" customHeight="1">
      <c r="A39" s="86" t="n"/>
      <c r="B39" s="86" t="n"/>
      <c r="C39" s="84" t="inlineStr">
        <is>
          <t>连段同键提示</t>
        </is>
      </c>
      <c r="D39" s="84" t="inlineStr">
        <is>
          <t>明确同一键连按的提示</t>
        </is>
      </c>
      <c r="E39" s="84" t="n"/>
      <c r="F39" s="83" t="inlineStr">
        <is>
          <t>2.1.3</t>
        </is>
      </c>
      <c r="G39" s="83" t="n"/>
      <c r="H39" s="84" t="n"/>
      <c r="I39" s="101" t="n"/>
    </row>
    <row r="40" ht="16" customHeight="1">
      <c r="A40" s="86" t="n"/>
      <c r="B40" s="86" t="n"/>
      <c r="C40" s="84" t="inlineStr">
        <is>
          <t>提示随改键实时更新</t>
        </is>
      </c>
      <c r="D40" s="84" t="inlineStr">
        <is>
          <t>提示读取当前绑定动态生成,禁止写死贴图</t>
        </is>
      </c>
      <c r="E40" s="84" t="n"/>
      <c r="F40" s="83" t="inlineStr">
        <is>
          <t>2.1.4</t>
        </is>
      </c>
      <c r="G40" s="83" t="n"/>
      <c r="H40" s="84" t="n"/>
      <c r="I40" s="101" t="n"/>
    </row>
    <row r="41" ht="16" customHeight="1">
      <c r="A41" s="86" t="n"/>
      <c r="B41" s="86" t="n"/>
      <c r="C41" s="84" t="inlineStr">
        <is>
          <t>弹窗确认/取消提示</t>
        </is>
      </c>
      <c r="D41" s="84" t="inlineStr">
        <is>
          <t>所有弹窗键帽提示</t>
        </is>
      </c>
      <c r="E41" s="84" t="n"/>
      <c r="F41" s="83" t="inlineStr">
        <is>
          <t>2.2.5</t>
        </is>
      </c>
      <c r="G41" s="83" t="n"/>
      <c r="H41" s="84" t="n"/>
      <c r="I41" s="101" t="n"/>
    </row>
    <row r="42" ht="16" customHeight="1">
      <c r="A42" s="86" t="n"/>
      <c r="B42" s="86" t="n"/>
      <c r="C42" s="84" t="inlineStr">
        <is>
          <t>Tooltip内键位提示</t>
        </is>
      </c>
      <c r="D42" s="84" t="inlineStr">
        <is>
          <t>tooltip内嵌键帽</t>
        </is>
      </c>
      <c r="E42" s="84" t="n"/>
      <c r="F42" s="83" t="inlineStr">
        <is>
          <t>2.2.7</t>
        </is>
      </c>
      <c r="G42" s="83" t="n"/>
      <c r="H42" s="84" t="n"/>
      <c r="I42" s="101" t="n"/>
    </row>
    <row r="43" ht="16" customHeight="1">
      <c r="A43" s="86" t="n"/>
      <c r="B43" s="86" t="n"/>
      <c r="C43" s="84" t="inlineStr">
        <is>
          <t>系统菜单入口</t>
        </is>
      </c>
      <c r="D43" s="84" t="inlineStr">
        <is>
          <t>战斗中也可Esc呼出</t>
        </is>
      </c>
      <c r="E43" s="84" t="n"/>
      <c r="F43" s="83" t="inlineStr">
        <is>
          <t>2.3.1</t>
        </is>
      </c>
      <c r="G43" s="83" t="n"/>
      <c r="H43" s="84" t="n"/>
      <c r="I43" s="101" t="n"/>
    </row>
    <row r="44" ht="16" customHeight="1">
      <c r="A44" s="86" t="n"/>
      <c r="B44" s="86" t="n"/>
      <c r="C44" s="84" t="inlineStr">
        <is>
          <t>提示显示/隐藏开关</t>
        </is>
      </c>
      <c r="D44" s="84" t="inlineStr">
        <is>
          <t>提示显隐开关</t>
        </is>
      </c>
      <c r="E44" s="84" t="n"/>
      <c r="F44" s="83" t="inlineStr">
        <is>
          <t>2.3.4</t>
        </is>
      </c>
      <c r="G44" s="83" t="n"/>
      <c r="H44" s="84" t="n"/>
      <c r="I44" s="101" t="n"/>
    </row>
    <row r="45" ht="16" customHeight="1">
      <c r="A45" s="86" t="n"/>
      <c r="B45" s="86" t="n"/>
      <c r="C45" s="84" t="inlineStr">
        <is>
          <t>游戏内键位一览/出招表</t>
        </is>
      </c>
      <c r="D45" s="84" t="inlineStr">
        <is>
          <t>按当前设备显示键位图/出招表</t>
        </is>
      </c>
      <c r="E45" s="84" t="n"/>
      <c r="F45" s="83" t="inlineStr">
        <is>
          <t>2.3.6</t>
        </is>
      </c>
      <c r="G45" s="83" t="n"/>
      <c r="H45" s="84" t="n"/>
      <c r="I45" s="101" t="n"/>
    </row>
    <row r="46" ht="16" customHeight="1">
      <c r="A46" s="86" t="n"/>
      <c r="B46" s="86" t="n"/>
      <c r="C46" s="84" t="inlineStr">
        <is>
          <t>手动覆盖图标样式</t>
        </is>
      </c>
      <c r="D46" s="84" t="inlineStr">
        <is>
          <t>控制器类型/提示样式手动选择</t>
        </is>
      </c>
      <c r="E46" s="84" t="n"/>
      <c r="F46" s="83" t="inlineStr">
        <is>
          <t>2.4.3</t>
        </is>
      </c>
      <c r="G46" s="83" t="n"/>
      <c r="H46" s="84" t="n"/>
      <c r="I46" s="101" t="n"/>
    </row>
    <row r="47" ht="16" customHeight="1">
      <c r="A47" s="86" t="n"/>
      <c r="B47" s="86" t="n"/>
      <c r="C47" s="84" t="inlineStr">
        <is>
          <t>非键鼠输入不显示键鼠图标</t>
        </is>
      </c>
      <c r="D47" s="84" t="inlineStr">
        <is>
          <t>全量排查写死图标</t>
        </is>
      </c>
      <c r="E47" s="84" t="n"/>
      <c r="F47" s="83" t="inlineStr">
        <is>
          <t>2.4.5</t>
        </is>
      </c>
      <c r="G47" s="83" t="n"/>
      <c r="H47" s="84" t="n"/>
      <c r="I47" s="101" t="n"/>
    </row>
    <row r="48" ht="16" customHeight="1">
      <c r="A48" s="86" t="n"/>
      <c r="B48" s="86" t="n"/>
      <c r="C48" s="84" t="inlineStr">
        <is>
          <t>组合/长按/连按图标规范</t>
        </is>
      </c>
      <c r="D48" s="84" t="inlineStr">
        <is>
          <t>四类图标样式规范</t>
        </is>
      </c>
      <c r="E48" s="84" t="n"/>
      <c r="F48" s="83" t="inlineStr">
        <is>
          <t>2.4.7</t>
        </is>
      </c>
      <c r="G48" s="83" t="n"/>
      <c r="H48" s="84" t="n"/>
      <c r="I48" s="101" t="n"/>
    </row>
    <row r="49" ht="16" customHeight="1">
      <c r="A49" s="86" t="n"/>
      <c r="B49" s="86" t="n"/>
      <c r="C49" s="84" t="inlineStr">
        <is>
          <t>UI布局模式切换</t>
        </is>
      </c>
      <c r="D49" s="84" t="inlineStr">
        <is>
          <t>自动切换 vs 手动模式,或两者兼有</t>
        </is>
      </c>
      <c r="E49" s="84" t="n"/>
      <c r="F49" s="83" t="inlineStr">
        <is>
          <t>2.4.9</t>
        </is>
      </c>
      <c r="G49" s="83" t="n"/>
      <c r="H49" s="84" t="n"/>
      <c r="I49" s="101" t="n"/>
    </row>
    <row r="50" ht="30" customHeight="1">
      <c r="A50" s="86" t="n"/>
      <c r="B50" s="86" t="n"/>
      <c r="C50" s="91" t="inlineStr">
        <is>
          <t>三端输入功能对等</t>
        </is>
      </c>
      <c r="D50" s="91" t="inlineStr">
        <is>
          <t>所有功能都能通过键鼠、手柄、触屏完成,不存在只能用某一种输入操作的功能;建立「功能×输入方式」对照验收表</t>
        </is>
      </c>
      <c r="E50" s="84" t="n"/>
      <c r="F50" s="83" t="inlineStr"/>
      <c r="G50" s="92" t="inlineStr">
        <is>
          <t>新增</t>
        </is>
      </c>
      <c r="H50" s="84" t="inlineStr">
        <is>
          <t>参考原神:手柄/触屏只能快捷关闭主界面UI、不能快捷打开</t>
        </is>
      </c>
      <c r="I50" s="101" t="n"/>
    </row>
    <row r="51" ht="30" customHeight="1">
      <c r="A51" s="86" t="n"/>
      <c r="B51" s="87" t="n"/>
      <c r="C51" s="91" t="inlineStr">
        <is>
          <t>移动端外接键鼠/手柄</t>
        </is>
      </c>
      <c r="D51" s="91" t="inlineStr">
        <is>
          <t>iPad/安卓平板外接键鼠或手柄时,自动切换键位与按键提示,复用PC输入抽象层</t>
        </is>
      </c>
      <c r="E51" s="84" t="n"/>
      <c r="F51" s="83" t="inlineStr">
        <is>
          <t>1.1.6</t>
        </is>
      </c>
      <c r="G51" s="92" t="inlineStr">
        <is>
          <t>新增</t>
        </is>
      </c>
      <c r="H51" s="84" t="inlineStr">
        <is>
          <t>参考原神:安卓平板接键鼠后自动映射为PC键位</t>
        </is>
      </c>
      <c r="I51" s="101" t="n"/>
    </row>
    <row r="52" ht="72" customHeight="1">
      <c r="A52" s="86" t="n"/>
      <c r="B52" s="83" t="inlineStr">
        <is>
          <t>设置</t>
        </is>
      </c>
      <c r="C52" s="84" t="inlineStr">
        <is>
          <t>画质设置</t>
        </is>
      </c>
      <c r="D52" s="84" t="inlineStr">
        <is>
          <t>预设档+按硬件自动推荐、渲染比例、纹理/阴影/特效分档、抗锯齿、动态分辨率、帧率上限与垂直同步、DLSS/FSR</t>
        </is>
      </c>
      <c r="E52" s="84" t="n"/>
      <c r="F52" s="83" t="inlineStr">
        <is>
          <t>4.1.1,4.1.2,4.1.4,4.1.5,4.1.7,4.1.9,4.2.1</t>
        </is>
      </c>
      <c r="G52" s="83" t="n"/>
      <c r="H52" s="84" t="n"/>
      <c r="I52" s="101" t="n"/>
    </row>
    <row r="53" ht="30" customHeight="1">
      <c r="A53" s="86" t="n"/>
      <c r="B53" s="86" t="n"/>
      <c r="C53" s="84" t="inlineStr">
        <is>
          <t>屏幕分辨率</t>
        </is>
      </c>
      <c r="D53" s="84" t="inlineStr">
        <is>
          <t>分辨率、全屏/无边框/窗口、多显示器与刷新率、超宽屏适配</t>
        </is>
      </c>
      <c r="E53" s="84" t="n"/>
      <c r="F53" s="83" t="inlineStr">
        <is>
          <t>3.1.2,3.1.5,3.1.6</t>
        </is>
      </c>
      <c r="G53" s="83" t="n"/>
      <c r="H53" s="84" t="n"/>
      <c r="I53" s="101" t="n"/>
    </row>
    <row r="54" ht="30" customHeight="1">
      <c r="A54" s="86" t="n"/>
      <c r="B54" s="86" t="n"/>
      <c r="C54" s="84" t="inlineStr">
        <is>
          <t>游戏性</t>
        </is>
      </c>
      <c r="D54" s="84" t="inlineStr">
        <is>
          <t>鼠标灵敏度/摇杆死区、震动、辅助锁定开关、Y轴反转、按住/切换</t>
        </is>
      </c>
      <c r="E54" s="84" t="n"/>
      <c r="F54" s="83" t="inlineStr">
        <is>
          <t>1.5.2,1.5.3,1.5.7</t>
        </is>
      </c>
      <c r="G54" s="83" t="n"/>
      <c r="H54" s="84" t="n"/>
      <c r="I54" s="101" t="n"/>
    </row>
    <row r="55" ht="16" customHeight="1">
      <c r="A55" s="86" t="n"/>
      <c r="B55" s="86" t="n"/>
      <c r="C55" s="84" t="inlineStr">
        <is>
          <t>音频支持</t>
        </is>
      </c>
      <c r="D55" s="84" t="inlineStr">
        <is>
          <t>输出设备选择、失焦/后台静音、立体声/环绕声</t>
        </is>
      </c>
      <c r="E55" s="84" t="n"/>
      <c r="F55" s="83" t="inlineStr">
        <is>
          <t>3.5.1</t>
        </is>
      </c>
      <c r="G55" s="83" t="n"/>
      <c r="H55" s="84" t="n"/>
      <c r="I55" s="101" t="n"/>
    </row>
    <row r="56" ht="16" customHeight="1">
      <c r="A56" s="86" t="n"/>
      <c r="B56" s="86" t="n"/>
      <c r="C56" s="84" t="inlineStr">
        <is>
          <t>自定义按键</t>
        </is>
      </c>
      <c r="D56" s="84" t="n"/>
      <c r="E56" s="84" t="n"/>
      <c r="F56" s="83" t="inlineStr">
        <is>
          <t>1.5.1</t>
        </is>
      </c>
      <c r="G56" s="83" t="n"/>
      <c r="H56" s="84" t="n"/>
      <c r="I56" s="101" t="n"/>
    </row>
    <row r="57" ht="16" customHeight="1">
      <c r="A57" s="86" t="n"/>
      <c r="B57" s="86" t="n"/>
      <c r="C57" s="84" t="inlineStr">
        <is>
          <t>键位预设与云同步</t>
        </is>
      </c>
      <c r="D57" s="84" t="inlineStr">
        <is>
          <t>2~3套预设,配置随账号云同步</t>
        </is>
      </c>
      <c r="E57" s="84" t="n"/>
      <c r="F57" s="83" t="inlineStr">
        <is>
          <t>1.5.6</t>
        </is>
      </c>
      <c r="G57" s="83" t="n"/>
      <c r="H57" s="84" t="n"/>
      <c r="I57" s="101" t="n"/>
    </row>
    <row r="58" ht="16" customHeight="1">
      <c r="A58" s="86" t="n"/>
      <c r="B58" s="86" t="n"/>
      <c r="C58" s="84" t="inlineStr">
        <is>
          <t>UI缩放</t>
        </is>
      </c>
      <c r="D58" s="84" t="inlineStr">
        <is>
          <t>UI缩放、HUD大小、透明度</t>
        </is>
      </c>
      <c r="E58" s="84" t="n"/>
      <c r="F58" s="83" t="inlineStr">
        <is>
          <t>3.1.3</t>
        </is>
      </c>
      <c r="G58" s="83" t="n"/>
      <c r="H58" s="84" t="n"/>
      <c r="I58" s="101" t="n"/>
    </row>
    <row r="59" ht="16" customHeight="1">
      <c r="A59" s="86" t="n"/>
      <c r="B59" s="86" t="n"/>
      <c r="C59" s="84" t="inlineStr">
        <is>
          <t>HDR/亮度校准</t>
        </is>
      </c>
      <c r="D59" s="84" t="inlineStr">
        <is>
          <t>HDR+亮度/Gamma校准</t>
        </is>
      </c>
      <c r="E59" s="84" t="n"/>
      <c r="F59" s="83" t="inlineStr">
        <is>
          <t>4.1.8</t>
        </is>
      </c>
      <c r="G59" s="83" t="n"/>
      <c r="H59" s="84" t="n"/>
      <c r="I59" s="101" t="n"/>
    </row>
    <row r="60" ht="16" customHeight="1">
      <c r="A60" s="86" t="n"/>
      <c r="B60" s="86" t="n"/>
      <c r="C60" s="84" t="inlineStr">
        <is>
          <t>性能监控</t>
        </is>
      </c>
      <c r="D60" s="84" t="inlineStr">
        <is>
          <t>内置帧率/延迟监控</t>
        </is>
      </c>
      <c r="E60" s="84" t="n"/>
      <c r="F60" s="83" t="inlineStr">
        <is>
          <t>4.2.3</t>
        </is>
      </c>
      <c r="G60" s="83" t="n"/>
      <c r="H60" s="84" t="n"/>
      <c r="I60" s="101" t="n"/>
    </row>
    <row r="61" ht="44" customHeight="1">
      <c r="A61" s="86" t="n"/>
      <c r="B61" s="87" t="n"/>
      <c r="C61" s="91" t="inlineStr">
        <is>
          <t>战斗辅助选项与快捷预设</t>
        </is>
      </c>
      <c r="D61" s="91" t="inlineStr">
        <is>
          <t>手机端的战斗简化(同键连段、自动锁定部位、技能辅助)在PC做成可选项;提供「便捷/进阶」一键预设,进阶模式拆为独立按键;预设下各项可单独调整</t>
        </is>
      </c>
      <c r="E61" s="84" t="n"/>
      <c r="F61" s="83" t="inlineStr">
        <is>
          <t>1.5.3</t>
        </is>
      </c>
      <c r="G61" s="92" t="inlineStr">
        <is>
          <t>新增</t>
        </is>
      </c>
      <c r="H61" s="84" t="inlineStr">
        <is>
          <t>决策:让玩家自己选择,提供快捷选项;参考燕云十六声手机端「技能辅助」</t>
        </is>
      </c>
      <c r="I61" s="101" t="n"/>
    </row>
    <row r="62" ht="44" customHeight="1">
      <c r="A62" s="86" t="n"/>
      <c r="B62" s="83" t="inlineStr">
        <is>
          <t>镜头&amp;索敌</t>
        </is>
      </c>
      <c r="C62" s="84" t="inlineStr">
        <is>
          <t># 基础参数定义</t>
        </is>
      </c>
      <c r="D62" s="84" t="inlineStr">
        <is>
          <t>基本相机参数，平视，俯视，仰视，视角空间补正及摄像机摇臂，及系统设置中镜头的支持玩家自定义的参数范围</t>
        </is>
      </c>
      <c r="E62" s="84" t="inlineStr">
        <is>
          <t>#PC默认视距、FOV调整、角色不再需要一直维持在屏幕中间
（设置中开放设置选项，默认值与手游端不一致）</t>
        </is>
      </c>
      <c r="F62" s="83" t="inlineStr">
        <is>
          <t>4.3.4,1.2.5</t>
        </is>
      </c>
      <c r="G62" s="83" t="n"/>
      <c r="H62" s="84" t="n"/>
      <c r="I62" s="101" t="n"/>
    </row>
    <row r="63" ht="30" customHeight="1">
      <c r="A63" s="86" t="n"/>
      <c r="B63" s="86" t="n"/>
      <c r="C63" s="84" t="inlineStr">
        <is>
          <t>#锁定镜头</t>
        </is>
      </c>
      <c r="D63" s="84" t="inlineStr">
        <is>
          <t>锁定状态下的镜头运动规则，以及该状态下的避障、显示辅助功能。新增无锁镜头、锁定怪头身镜头、新增点击指定按钮看向怪物</t>
        </is>
      </c>
      <c r="E63" s="84" t="inlineStr">
        <is>
          <t>#PC的镜头锁定交互与手机差异，PC默认无锁定</t>
        </is>
      </c>
      <c r="F63" s="83" t="inlineStr">
        <is>
          <t>1.2.5,1.5.3</t>
        </is>
      </c>
      <c r="G63" s="83" t="n"/>
      <c r="H63" s="84" t="n"/>
      <c r="I63" s="101" t="n"/>
    </row>
    <row r="64" ht="30" customHeight="1">
      <c r="A64" s="86" t="n"/>
      <c r="B64" s="87" t="n"/>
      <c r="C64" s="91" t="inlineStr">
        <is>
          <t>锁定部位切换</t>
        </is>
      </c>
      <c r="D64" s="91" t="inlineStr">
        <is>
          <t>PC默认不锁定时,提供锁定键(如鼠标中键/R3)与部位切换(滚轮/右摇杆拨动),与战斗辅助选项联动</t>
        </is>
      </c>
      <c r="E64" s="84" t="n"/>
      <c r="F64" s="83" t="inlineStr">
        <is>
          <t>1.2.5</t>
        </is>
      </c>
      <c r="G64" s="92" t="inlineStr">
        <is>
          <t>新增</t>
        </is>
      </c>
      <c r="H64" s="84" t="inlineStr">
        <is>
          <t>旅人手机端长按锁定部位是核心操作</t>
        </is>
      </c>
      <c r="I64" s="101" t="n"/>
    </row>
    <row r="65" ht="30" customHeight="1">
      <c r="A65" s="86" t="n"/>
      <c r="B65" s="83" t="inlineStr">
        <is>
          <t>键鼠专项</t>
        </is>
      </c>
      <c r="C65" s="84" t="inlineStr">
        <is>
          <t>操作差异</t>
        </is>
      </c>
      <c r="D65" s="84" t="inlineStr">
        <is>
          <t>鼠标移动操作摄像机视角</t>
        </is>
      </c>
      <c r="E65" s="84" t="n"/>
      <c r="F65" s="83" t="inlineStr">
        <is>
          <t>1.4.3,1.3.12</t>
        </is>
      </c>
      <c r="G65" s="83" t="n"/>
      <c r="H65" s="84" t="n"/>
      <c r="I65" s="101" t="n"/>
    </row>
    <row r="66" ht="16" customHeight="1">
      <c r="A66" s="86" t="n"/>
      <c r="B66" s="86" t="n"/>
      <c r="C66" s="84" t="inlineStr">
        <is>
          <t>走/跑切换</t>
        </is>
      </c>
      <c r="D66" s="84" t="inlineStr">
        <is>
          <t>键盘无模拟量,需走跑切换键</t>
        </is>
      </c>
      <c r="E66" s="84" t="n"/>
      <c r="F66" s="83" t="inlineStr">
        <is>
          <t>1.2.9</t>
        </is>
      </c>
      <c r="G66" s="83" t="n"/>
      <c r="H66" s="84" t="n"/>
      <c r="I66" s="101" t="n"/>
    </row>
    <row r="67" ht="16" customHeight="1">
      <c r="A67" s="86" t="n"/>
      <c r="B67" s="86" t="n"/>
      <c r="C67" s="84" t="inlineStr">
        <is>
          <t>鼠标右键语义</t>
        </is>
      </c>
      <c r="D67" s="84" t="inlineStr">
        <is>
          <t>右键在战斗/菜单两种场景的分工</t>
        </is>
      </c>
      <c r="E67" s="84" t="n"/>
      <c r="F67" s="83" t="inlineStr">
        <is>
          <t>1.3.2</t>
        </is>
      </c>
      <c r="G67" s="83" t="n"/>
      <c r="H67" s="84" t="n"/>
      <c r="I67" s="101" t="n"/>
    </row>
    <row r="68" ht="16" customHeight="1">
      <c r="A68" s="86" t="n"/>
      <c r="B68" s="86" t="n"/>
      <c r="C68" s="84" t="inlineStr">
        <is>
          <t>长按 vs 点按</t>
        </is>
      </c>
      <c r="D68" s="84" t="inlineStr">
        <is>
          <t>长按类操作的键鼠等价与判定阈值</t>
        </is>
      </c>
      <c r="E68" s="84" t="n"/>
      <c r="F68" s="83" t="inlineStr">
        <is>
          <t>1.3.4</t>
        </is>
      </c>
      <c r="G68" s="83" t="n"/>
      <c r="H68" s="84" t="n"/>
      <c r="I68" s="101" t="n"/>
    </row>
    <row r="69" ht="16" customHeight="1">
      <c r="A69" s="86" t="n"/>
      <c r="B69" s="86" t="n"/>
      <c r="C69" s="84" t="inlineStr">
        <is>
          <t>组合键表达</t>
        </is>
      </c>
      <c r="D69" s="84" t="inlineStr">
        <is>
          <t>组合动作的组合键/侧键映射</t>
        </is>
      </c>
      <c r="E69" s="84" t="n"/>
      <c r="F69" s="83" t="inlineStr">
        <is>
          <t>1.3.5</t>
        </is>
      </c>
      <c r="G69" s="83" t="n"/>
      <c r="H69" s="84" t="n"/>
      <c r="I69" s="101" t="n"/>
    </row>
    <row r="70" ht="30" customHeight="1">
      <c r="A70" s="86" t="n"/>
      <c r="B70" s="86" t="n"/>
      <c r="C70" s="84" t="inlineStr">
        <is>
          <t>系统键冲突(Win/Alt+Tab/输入法)</t>
        </is>
      </c>
      <c r="D70" s="84" t="inlineStr">
        <is>
          <t>游戏内禁用IME、可选屏蔽Win键、Alt+Tab失焦处理</t>
        </is>
      </c>
      <c r="E70" s="84" t="n"/>
      <c r="F70" s="83" t="inlineStr">
        <is>
          <t>1.3.11</t>
        </is>
      </c>
      <c r="G70" s="83" t="n"/>
      <c r="H70" s="84" t="n"/>
      <c r="I70" s="101" t="n"/>
    </row>
    <row r="71" ht="16" customHeight="1">
      <c r="A71" s="86" t="n"/>
      <c r="B71" s="86" t="n"/>
      <c r="C71" s="84" t="inlineStr">
        <is>
          <t>点按</t>
        </is>
      </c>
      <c r="D71" s="84" t="inlineStr">
        <is>
          <t>依赖1.1.6抽象层</t>
        </is>
      </c>
      <c r="E71" s="84" t="n"/>
      <c r="F71" s="83" t="inlineStr">
        <is>
          <t>1.4.1</t>
        </is>
      </c>
      <c r="G71" s="83" t="n"/>
      <c r="H71" s="84" t="n"/>
      <c r="I71" s="101" t="n"/>
    </row>
    <row r="72" ht="16" customHeight="1">
      <c r="A72" s="86" t="n"/>
      <c r="B72" s="86" t="n"/>
      <c r="C72" s="84" t="inlineStr">
        <is>
          <t>长按</t>
        </is>
      </c>
      <c r="D72" s="84" t="inlineStr">
        <is>
          <t>长按左键或独立键,可重映射</t>
        </is>
      </c>
      <c r="E72" s="84" t="n"/>
      <c r="F72" s="83" t="inlineStr">
        <is>
          <t>1.4.2</t>
        </is>
      </c>
      <c r="G72" s="83" t="n"/>
      <c r="H72" s="84" t="n"/>
      <c r="I72" s="101" t="n"/>
    </row>
    <row r="73" ht="16" customHeight="1">
      <c r="A73" s="86" t="n"/>
      <c r="B73" s="86" t="n"/>
      <c r="C73" s="84" t="inlineStr">
        <is>
          <t>多点触控</t>
        </is>
      </c>
      <c r="D73" s="84" t="inlineStr">
        <is>
          <t>多键同按的输入缓冲</t>
        </is>
      </c>
      <c r="E73" s="84" t="n"/>
      <c r="F73" s="83" t="inlineStr">
        <is>
          <t>1.4.4</t>
        </is>
      </c>
      <c r="G73" s="83" t="n"/>
      <c r="H73" s="84" t="n"/>
      <c r="I73" s="101" t="n"/>
    </row>
    <row r="74" ht="16" customHeight="1">
      <c r="A74" s="86" t="n"/>
      <c r="B74" s="86" t="n"/>
      <c r="C74" s="84" t="inlineStr">
        <is>
          <t>双指缩放/旋转</t>
        </is>
      </c>
      <c r="D74" s="84" t="inlineStr">
        <is>
          <t>滚轮缩放+拖拽旋转</t>
        </is>
      </c>
      <c r="E74" s="84" t="n"/>
      <c r="F74" s="83" t="inlineStr">
        <is>
          <t>1.4.5</t>
        </is>
      </c>
      <c r="G74" s="83" t="n"/>
      <c r="H74" s="84" t="n"/>
      <c r="I74" s="101" t="n"/>
    </row>
    <row r="75" ht="16" customHeight="1">
      <c r="A75" s="86" t="n"/>
      <c r="B75" s="87" t="n"/>
      <c r="C75" s="84" t="inlineStr">
        <is>
          <t>虚拟摇杆幅度</t>
        </is>
      </c>
      <c r="D75" s="84" t="inlineStr">
        <is>
          <t>WASD+走跑切换,手柄摇杆模拟量</t>
        </is>
      </c>
      <c r="E75" s="84" t="n"/>
      <c r="F75" s="83" t="inlineStr">
        <is>
          <t>1.4.6</t>
        </is>
      </c>
      <c r="G75" s="83" t="n"/>
      <c r="H75" s="84" t="n"/>
      <c r="I75" s="101" t="n"/>
    </row>
    <row r="76" ht="16" customHeight="1">
      <c r="A76" s="86" t="n"/>
      <c r="B76" s="83" t="inlineStr">
        <is>
          <t>手柄专项</t>
        </is>
      </c>
      <c r="C76" s="84" t="inlineStr">
        <is>
          <t>操作差异</t>
        </is>
      </c>
      <c r="D76" s="84" t="inlineStr">
        <is>
          <t>R3操作摄像机视角</t>
        </is>
      </c>
      <c r="E76" s="84" t="n"/>
      <c r="F76" s="83" t="inlineStr">
        <is>
          <t>1.4.3</t>
        </is>
      </c>
      <c r="G76" s="83" t="n"/>
      <c r="H76" s="84" t="n"/>
      <c r="I76" s="101" t="n"/>
    </row>
    <row r="77" ht="16" customHeight="1">
      <c r="A77" s="86" t="n"/>
      <c r="B77" s="86" t="n"/>
      <c r="C77" s="84" t="inlineStr">
        <is>
          <t>手柄可访问全部内容</t>
        </is>
      </c>
      <c r="D77" s="84" t="inlineStr">
        <is>
          <t>盘点触屏专属操作,保证手柄均有路径</t>
        </is>
      </c>
      <c r="E77" s="84" t="n"/>
      <c r="F77" s="83" t="inlineStr">
        <is>
          <t>1.6.1</t>
        </is>
      </c>
      <c r="G77" s="83" t="n"/>
      <c r="H77" s="84" t="n"/>
      <c r="I77" s="101" t="n"/>
    </row>
    <row r="78" ht="16" customHeight="1">
      <c r="A78" s="86" t="n"/>
      <c r="B78" s="86" t="n"/>
      <c r="C78" s="84" t="inlineStr">
        <is>
          <t>手柄界面快捷操作规范</t>
        </is>
      </c>
      <c r="D78" s="84" t="inlineStr">
        <is>
          <t>全局手柄UI键规范</t>
        </is>
      </c>
      <c r="E78" s="84" t="n"/>
      <c r="F78" s="83" t="inlineStr">
        <is>
          <t>1.6.3</t>
        </is>
      </c>
      <c r="G78" s="83" t="n"/>
      <c r="H78" s="84" t="n"/>
      <c r="I78" s="101" t="n"/>
    </row>
    <row r="79" ht="16" customHeight="1">
      <c r="A79" s="86" t="n"/>
      <c r="B79" s="86" t="n"/>
      <c r="C79" s="84" t="inlineStr">
        <is>
          <t>手柄高级特性</t>
        </is>
      </c>
      <c r="D79" s="84" t="inlineStr">
        <is>
          <t>震动波形、自适应扳机、陀螺仪(选做)</t>
        </is>
      </c>
      <c r="E79" s="84" t="n"/>
      <c r="F79" s="83" t="inlineStr">
        <is>
          <t>1.6.4</t>
        </is>
      </c>
      <c r="G79" s="83" t="n"/>
      <c r="H79" s="84" t="n"/>
      <c r="I79" s="101" t="n"/>
    </row>
    <row r="80" ht="16" customHeight="1">
      <c r="A80" s="87" t="n"/>
      <c r="B80" s="87" t="n"/>
      <c r="C80" s="91" t="inlineStr">
        <is>
          <t>手柄轮盘</t>
        </is>
      </c>
      <c r="D80" s="91" t="inlineStr">
        <is>
          <t>道具、建造物、武器切换用轮盘选择:按住呼出、摇杆选择、松开确认</t>
        </is>
      </c>
      <c r="E80" s="84" t="n"/>
      <c r="F80" s="83" t="inlineStr"/>
      <c r="G80" s="92" t="inlineStr">
        <is>
          <t>新增</t>
        </is>
      </c>
      <c r="H80" s="84" t="inlineStr">
        <is>
          <t>参考原神手柄轮盘</t>
        </is>
      </c>
      <c r="I80" s="101" t="n"/>
    </row>
    <row r="81" ht="16" customHeight="1">
      <c r="A81" s="82" t="inlineStr">
        <is>
          <t>交互专项</t>
        </is>
      </c>
      <c r="B81" s="83" t="inlineStr">
        <is>
          <t>通用功能</t>
        </is>
      </c>
      <c r="C81" s="84" t="inlineStr">
        <is>
          <t>交互逻辑框架</t>
        </is>
      </c>
      <c r="D81" s="84" t="inlineStr">
        <is>
          <t>设计手机转端游的交互逻辑框架</t>
        </is>
      </c>
      <c r="E81" s="84" t="n"/>
      <c r="F81" s="83" t="inlineStr">
        <is>
          <t>1.1.6</t>
        </is>
      </c>
      <c r="G81" s="83" t="n"/>
      <c r="H81" s="84" t="n"/>
      <c r="I81" s="101" t="n"/>
    </row>
    <row r="82" ht="16" customHeight="1">
      <c r="A82" s="86" t="n"/>
      <c r="B82" s="86" t="n"/>
      <c r="C82" s="84" t="inlineStr">
        <is>
          <t>ESC功能支持</t>
        </is>
      </c>
      <c r="D82" s="84" t="inlineStr">
        <is>
          <t>ESC返回栈:关弹窗→关界面→呼出系统菜单,逐级回退</t>
        </is>
      </c>
      <c r="E82" s="84" t="n"/>
      <c r="F82" s="83" t="inlineStr">
        <is>
          <t>1.3.1</t>
        </is>
      </c>
      <c r="G82" s="83" t="n"/>
      <c r="H82" s="84" t="n"/>
      <c r="I82" s="101" t="n"/>
    </row>
    <row r="83" ht="72" customHeight="1">
      <c r="A83" s="86" t="n"/>
      <c r="B83" s="86" t="n"/>
      <c r="C83" s="84" t="inlineStr">
        <is>
          <t>键鼠差异功能</t>
        </is>
      </c>
      <c r="D83" s="84" t="inlineStr">
        <is>
          <t>鼠标光标模式(锁定/释放)，alt触发鼠标显示
快捷使用道具or返回上级菜单
鼠标悬停状态，选中状态（tips显示）
鼠标滚轮支持，缩放，列表滚动
物品ICON拖拽，双击</t>
        </is>
      </c>
      <c r="E83" s="84" t="n"/>
      <c r="F83" s="83" t="inlineStr">
        <is>
          <t>1.3.9,3.3.1,1.3.3,3.3.3,3.3.5</t>
        </is>
      </c>
      <c r="G83" s="83" t="n"/>
      <c r="H83" s="84" t="n"/>
      <c r="I83" s="101" t="n"/>
    </row>
    <row r="84" ht="16" customHeight="1">
      <c r="A84" s="86" t="n"/>
      <c r="B84" s="86" t="n"/>
      <c r="C84" s="84" t="inlineStr">
        <is>
          <t>手柄差异功能</t>
        </is>
      </c>
      <c r="D84" s="84" t="inlineStr">
        <is>
          <t>手柄选中（焦点）状态，（tips显示，tips按钮操作）</t>
        </is>
      </c>
      <c r="E84" s="84" t="n"/>
      <c r="F84" s="83" t="inlineStr">
        <is>
          <t>1.6.2</t>
        </is>
      </c>
      <c r="G84" s="83" t="n"/>
      <c r="H84" s="84" t="n"/>
      <c r="I84" s="101" t="n"/>
    </row>
    <row r="85" ht="16" customHeight="1">
      <c r="A85" s="86" t="n"/>
      <c r="B85" s="86" t="n"/>
      <c r="C85" s="84" t="inlineStr">
        <is>
          <t>横屏布局基线</t>
        </is>
      </c>
      <c r="D85" s="84" t="inlineStr">
        <is>
          <t>确定PC布局基线</t>
        </is>
      </c>
      <c r="E85" s="84" t="n"/>
      <c r="F85" s="83" t="inlineStr">
        <is>
          <t>3.1.1</t>
        </is>
      </c>
      <c r="G85" s="83" t="n"/>
      <c r="H85" s="84" t="n"/>
      <c r="I85" s="101" t="n"/>
    </row>
    <row r="86" ht="16" customHeight="1">
      <c r="A86" s="86" t="n"/>
      <c r="B86" s="86" t="n"/>
      <c r="C86" s="84" t="inlineStr">
        <is>
          <t>刘海/安全区逻辑</t>
        </is>
      </c>
      <c r="D86" s="84" t="inlineStr">
        <is>
          <t>替换为PC安全区</t>
        </is>
      </c>
      <c r="E86" s="84" t="n"/>
      <c r="F86" s="83" t="inlineStr">
        <is>
          <t>3.2.6</t>
        </is>
      </c>
      <c r="G86" s="83" t="n"/>
      <c r="H86" s="84" t="n"/>
      <c r="I86" s="101" t="n"/>
    </row>
    <row r="87" ht="16" customHeight="1">
      <c r="A87" s="86" t="n"/>
      <c r="B87" s="86" t="n"/>
      <c r="C87" s="84" t="inlineStr">
        <is>
          <t>右键返回</t>
        </is>
      </c>
      <c r="D87" s="84" t="inlineStr">
        <is>
          <t>菜单内右键=返回,与战斗右键区分</t>
        </is>
      </c>
      <c r="E87" s="84" t="n"/>
      <c r="F87" s="83" t="inlineStr">
        <is>
          <t>3.3.2</t>
        </is>
      </c>
      <c r="G87" s="83" t="n"/>
      <c r="H87" s="84" t="n"/>
      <c r="I87" s="101" t="n"/>
    </row>
    <row r="88" ht="16" customHeight="1">
      <c r="A88" s="86" t="n"/>
      <c r="B88" s="86" t="n"/>
      <c r="C88" s="84" t="inlineStr">
        <is>
          <t>点击热区/光标样式</t>
        </is>
      </c>
      <c r="D88" s="84" t="inlineStr">
        <is>
          <t>热区、命中反馈、光标样式</t>
        </is>
      </c>
      <c r="E88" s="84" t="n"/>
      <c r="F88" s="83" t="inlineStr">
        <is>
          <t>3.3.4</t>
        </is>
      </c>
      <c r="G88" s="83" t="n"/>
      <c r="H88" s="84" t="n"/>
      <c r="I88" s="101" t="n"/>
    </row>
    <row r="89" ht="16" customHeight="1">
      <c r="A89" s="86" t="n"/>
      <c r="B89" s="86" t="n"/>
      <c r="C89" s="84" t="inlineStr">
        <is>
          <t>滚动条与分页</t>
        </is>
      </c>
      <c r="D89" s="84" t="inlineStr">
        <is>
          <t>长列表加滚动条</t>
        </is>
      </c>
      <c r="E89" s="84" t="n"/>
      <c r="F89" s="83" t="inlineStr">
        <is>
          <t>3.3.8</t>
        </is>
      </c>
      <c r="G89" s="83" t="n"/>
      <c r="H89" s="84" t="n"/>
      <c r="I89" s="101" t="n"/>
    </row>
    <row r="90" ht="16" customHeight="1">
      <c r="A90" s="86" t="n"/>
      <c r="B90" s="86" t="n"/>
      <c r="C90" s="84" t="inlineStr">
        <is>
          <t>截图/拍照模式</t>
        </is>
      </c>
      <c r="D90" s="84" t="inlineStr">
        <is>
          <t>截图键、拍照模式键鼠操作、隐藏UI</t>
        </is>
      </c>
      <c r="E90" s="84" t="n"/>
      <c r="F90" s="83" t="inlineStr">
        <is>
          <t>3.5.2</t>
        </is>
      </c>
      <c r="G90" s="83" t="n"/>
      <c r="H90" s="84" t="n"/>
      <c r="I90" s="101" t="n"/>
    </row>
    <row r="91" ht="16" customHeight="1">
      <c r="A91" s="86" t="n"/>
      <c r="B91" s="86" t="n"/>
      <c r="C91" s="84" t="inlineStr">
        <is>
          <t>退出确认(Alt+F4)</t>
        </is>
      </c>
      <c r="D91" s="84" t="inlineStr">
        <is>
          <t>关闭窗口确认/安全存档</t>
        </is>
      </c>
      <c r="E91" s="84" t="n"/>
      <c r="F91" s="83" t="inlineStr">
        <is>
          <t>3.5.3</t>
        </is>
      </c>
      <c r="G91" s="83" t="n"/>
      <c r="H91" s="84" t="n"/>
      <c r="I91" s="101" t="n"/>
    </row>
    <row r="92" ht="44" customHeight="1">
      <c r="A92" s="86" t="n"/>
      <c r="B92" s="87" t="n"/>
      <c r="C92" s="91" t="inlineStr">
        <is>
          <t>手机系统能力的PC替代</t>
        </is>
      </c>
      <c r="D92" s="91" t="inlineStr">
        <is>
          <t>分享微信/QQ→二维码或复制链接;扫码→PC替代方案;保存到相册→本地截图目录;推送通知→游戏内/系统通知;手机震动→手柄震动</t>
        </is>
      </c>
      <c r="E92" s="84" t="n"/>
      <c r="F92" s="83" t="inlineStr"/>
      <c r="G92" s="92" t="inlineStr">
        <is>
          <t>新增</t>
        </is>
      </c>
      <c r="H92" s="84" t="inlineStr">
        <is>
          <t>手机专属系统能力在PC上没有直接对应</t>
        </is>
      </c>
      <c r="I92" s="101" t="n"/>
    </row>
    <row r="93" ht="44" customHeight="1">
      <c r="A93" s="86" t="n"/>
      <c r="B93" s="83" t="inlineStr">
        <is>
          <t>战斗相关</t>
        </is>
      </c>
      <c r="C93" s="84" t="inlineStr">
        <is>
          <t>战斗相关HUD</t>
        </is>
      </c>
      <c r="D93" s="84" t="inlineStr">
        <is>
          <t>大屏HUD布局重排;技能图标+键帽+CD同框;隐藏触屏按钮元素</t>
        </is>
      </c>
      <c r="E93" s="84" t="inlineStr">
        <is>
          <t>特殊需求，11月PC展示视频相关</t>
        </is>
      </c>
      <c r="F93" s="83" t="inlineStr">
        <is>
          <t>2.1.1,2.1.5,3.2.1,3.2.2,3.2.5</t>
        </is>
      </c>
      <c r="G93" s="83" t="n"/>
      <c r="H93" s="84" t="n"/>
      <c r="I93" s="101" t="n"/>
    </row>
    <row r="94" ht="16" customHeight="1">
      <c r="A94" s="86" t="n"/>
      <c r="B94" s="86" t="n"/>
      <c r="C94" s="84" t="inlineStr">
        <is>
          <t>角色伤害跳字</t>
        </is>
      </c>
      <c r="D94" s="84" t="inlineStr">
        <is>
          <t>大屏/高分辨率下跳字尺寸、密度与可读性调整</t>
        </is>
      </c>
      <c r="E94" s="84" t="inlineStr">
        <is>
          <t>特殊需求，11月PC展示视频相关</t>
        </is>
      </c>
      <c r="F94" s="83" t="n"/>
      <c r="G94" s="83" t="n"/>
      <c r="H94" s="84" t="n"/>
      <c r="I94" s="101" t="n"/>
    </row>
    <row r="95" ht="30" customHeight="1">
      <c r="A95" s="86" t="n"/>
      <c r="B95" s="86" t="n"/>
      <c r="C95" s="84" t="inlineStr">
        <is>
          <t>角色战斗状态HUD</t>
        </is>
      </c>
      <c r="D95" s="84" t="inlineStr">
        <is>
          <t>体力/耐力/道具状态栏位置(环绕角色 vs 固定角)与大屏可读性</t>
        </is>
      </c>
      <c r="E95" s="84" t="n"/>
      <c r="F95" s="83" t="inlineStr">
        <is>
          <t>3.1.4</t>
        </is>
      </c>
      <c r="G95" s="83" t="n"/>
      <c r="H95" s="84" t="n"/>
      <c r="I95" s="101" t="n"/>
    </row>
    <row r="96" ht="30" customHeight="1">
      <c r="A96" s="86" t="n"/>
      <c r="B96" s="87" t="n"/>
      <c r="C96" s="84" t="inlineStr">
        <is>
          <t>战斗道具推荐</t>
        </is>
      </c>
      <c r="D96" s="84" t="inlineStr">
        <is>
          <t>推荐道具与数字键快捷栏联动,显示对应快捷键</t>
        </is>
      </c>
      <c r="E96" s="84" t="n"/>
      <c r="F96" s="83" t="inlineStr">
        <is>
          <t>1.3.6,3.2.3</t>
        </is>
      </c>
      <c r="G96" s="83" t="n"/>
      <c r="H96" s="84" t="n"/>
      <c r="I96" s="101" t="n"/>
    </row>
    <row r="97" ht="30" customHeight="1">
      <c r="A97" s="86" t="n"/>
      <c r="B97" s="83" t="inlineStr">
        <is>
          <t>系统界面改造</t>
        </is>
      </c>
      <c r="C97" s="84" t="inlineStr">
        <is>
          <t>系统相关HUD</t>
        </is>
      </c>
      <c r="D97" s="84" t="inlineStr">
        <is>
          <t>主界面系统入口图标旁标快捷键,常驻功能键提示</t>
        </is>
      </c>
      <c r="E97" s="84" t="inlineStr">
        <is>
          <t>特殊需求，11月PC展示视频相关</t>
        </is>
      </c>
      <c r="F97" s="83" t="inlineStr">
        <is>
          <t>2.1.2,2.3.2</t>
        </is>
      </c>
      <c r="G97" s="83" t="n"/>
      <c r="H97" s="84" t="n"/>
      <c r="I97" s="101" t="n"/>
    </row>
    <row r="98" ht="16" customHeight="1">
      <c r="A98" s="86" t="n"/>
      <c r="B98" s="86" t="n"/>
      <c r="C98" s="91" t="inlineStr">
        <is>
          <t>通用检查清单</t>
        </is>
      </c>
      <c r="D98" s="91" t="inlineStr">
        <is>
          <t>①悬停与选中态：鼠标悬停/选中高亮,Tips显示</t>
        </is>
      </c>
      <c r="E98" s="84" t="n"/>
      <c r="F98" s="83" t="inlineStr">
        <is>
          <t>3.3.1</t>
        </is>
      </c>
      <c r="G98" s="92" t="inlineStr">
        <is>
          <t>新增</t>
        </is>
      </c>
      <c r="H98" s="84" t="inlineStr">
        <is>
          <t>所有系统/玩法界面逐项套用</t>
        </is>
      </c>
      <c r="I98" s="101" t="n"/>
    </row>
    <row r="99" ht="16" customHeight="1">
      <c r="A99" s="86" t="n"/>
      <c r="B99" s="86" t="n"/>
      <c r="C99" s="86" t="n"/>
      <c r="D99" s="91" t="inlineStr">
        <is>
          <t>②手柄焦点导航：焦点顺序、焦点框样式、返回上级后焦点记忆</t>
        </is>
      </c>
      <c r="E99" s="84" t="n"/>
      <c r="F99" s="83" t="inlineStr">
        <is>
          <t>1.6.2</t>
        </is>
      </c>
      <c r="G99" s="92" t="inlineStr">
        <is>
          <t>新增</t>
        </is>
      </c>
      <c r="H99" s="84" t="inlineStr">
        <is>
          <t>所有系统/玩法界面逐项套用</t>
        </is>
      </c>
      <c r="I99" s="101" t="n"/>
    </row>
    <row r="100" ht="30" customHeight="1">
      <c r="A100" s="86" t="n"/>
      <c r="B100" s="86" t="n"/>
      <c r="C100" s="86" t="n"/>
      <c r="D100" s="91" t="inlineStr">
        <is>
          <t>③界面快捷键：页签切换Q/E(LB/RB)、类别切换、排序/筛选、Tab切换显示方式</t>
        </is>
      </c>
      <c r="E100" s="84" t="n"/>
      <c r="F100" s="83" t="inlineStr">
        <is>
          <t>1.3.7,1.6.3</t>
        </is>
      </c>
      <c r="G100" s="92" t="inlineStr">
        <is>
          <t>新增</t>
        </is>
      </c>
      <c r="H100" s="84" t="inlineStr">
        <is>
          <t>所有系统/玩法界面逐项套用</t>
        </is>
      </c>
      <c r="I100" s="101" t="n"/>
    </row>
    <row r="101" ht="30" customHeight="1">
      <c r="A101" s="86" t="n"/>
      <c r="B101" s="86" t="n"/>
      <c r="C101" s="86" t="n"/>
      <c r="D101" s="91" t="inlineStr">
        <is>
          <t>④底部操作提示栏：确认/返回/翻页等键帽提示,随输入设备自动切换</t>
        </is>
      </c>
      <c r="E101" s="84" t="n"/>
      <c r="F101" s="83" t="inlineStr">
        <is>
          <t>2.2.3</t>
        </is>
      </c>
      <c r="G101" s="92" t="inlineStr">
        <is>
          <t>新增</t>
        </is>
      </c>
      <c r="H101" s="84" t="inlineStr">
        <is>
          <t>所有系统/玩法界面逐项套用</t>
        </is>
      </c>
      <c r="I101" s="101" t="n"/>
    </row>
    <row r="102" ht="30" customHeight="1">
      <c r="A102" s="86" t="n"/>
      <c r="B102" s="86" t="n"/>
      <c r="C102" s="86" t="n"/>
      <c r="D102" s="91" t="inlineStr">
        <is>
          <t>⑤关闭与返回：ESC/鼠标右键/手柄B逐级返回,关闭弹窗与界面</t>
        </is>
      </c>
      <c r="E102" s="84" t="n"/>
      <c r="F102" s="83" t="inlineStr">
        <is>
          <t>1.3.1,3.3.2</t>
        </is>
      </c>
      <c r="G102" s="92" t="inlineStr">
        <is>
          <t>新增</t>
        </is>
      </c>
      <c r="H102" s="84" t="inlineStr">
        <is>
          <t>所有系统/玩法界面逐项套用</t>
        </is>
      </c>
      <c r="I102" s="101" t="n"/>
    </row>
    <row r="103" ht="30" customHeight="1">
      <c r="A103" s="86" t="n"/>
      <c r="B103" s="86" t="n"/>
      <c r="C103" s="86" t="n"/>
      <c r="D103" s="91" t="inlineStr">
        <is>
          <t>⑥滚轮与滚动条：列表滚动、模型/地图缩放;长列表显示滚动条</t>
        </is>
      </c>
      <c r="E103" s="84" t="n"/>
      <c r="F103" s="83" t="inlineStr">
        <is>
          <t>3.3.3,3.3.8</t>
        </is>
      </c>
      <c r="G103" s="92" t="inlineStr">
        <is>
          <t>新增</t>
        </is>
      </c>
      <c r="H103" s="84" t="inlineStr">
        <is>
          <t>所有系统/玩法界面逐项套用</t>
        </is>
      </c>
      <c r="I103" s="101" t="n"/>
    </row>
    <row r="104" ht="30" customHeight="1">
      <c r="A104" s="86" t="n"/>
      <c r="B104" s="86" t="n"/>
      <c r="C104" s="86" t="n"/>
      <c r="D104" s="91" t="inlineStr">
        <is>
          <t>⑦鼠标高级操作(适用时)：拖拽、双击、Shift/Ctrl批量选择、右键上下文菜单</t>
        </is>
      </c>
      <c r="E104" s="84" t="n"/>
      <c r="F104" s="83" t="inlineStr">
        <is>
          <t>3.3.5,3.3.6,3.3.7</t>
        </is>
      </c>
      <c r="G104" s="92" t="inlineStr">
        <is>
          <t>新增</t>
        </is>
      </c>
      <c r="H104" s="84" t="inlineStr">
        <is>
          <t>所有系统/玩法界面逐项套用</t>
        </is>
      </c>
      <c r="I104" s="101" t="n"/>
    </row>
    <row r="105" ht="30" customHeight="1">
      <c r="A105" s="86" t="n"/>
      <c r="B105" s="86" t="n"/>
      <c r="C105" s="86" t="n"/>
      <c r="D105" s="91" t="inlineStr">
        <is>
          <t>⑧大屏适配：布局重排与信息密度、最小字号、多分辨率/超宽屏安全区</t>
        </is>
      </c>
      <c r="E105" s="84" t="n"/>
      <c r="F105" s="83" t="inlineStr">
        <is>
          <t>3.2.4,3.1.7,3.1.2</t>
        </is>
      </c>
      <c r="G105" s="92" t="inlineStr">
        <is>
          <t>新增</t>
        </is>
      </c>
      <c r="H105" s="84" t="inlineStr">
        <is>
          <t>所有系统/玩法界面逐项套用</t>
        </is>
      </c>
      <c r="I105" s="101" t="n"/>
    </row>
    <row r="106" ht="30" customHeight="1">
      <c r="A106" s="86" t="n"/>
      <c r="B106" s="86" t="n"/>
      <c r="C106" s="86" t="n"/>
      <c r="D106" s="91" t="inlineStr">
        <is>
          <t>⑨隐藏触屏元素：键鼠/手柄模式下隐藏虚拟摇杆、手势提示等触屏专属元素</t>
        </is>
      </c>
      <c r="E106" s="84" t="n"/>
      <c r="F106" s="83" t="inlineStr">
        <is>
          <t>3.2.5</t>
        </is>
      </c>
      <c r="G106" s="92" t="inlineStr">
        <is>
          <t>新增</t>
        </is>
      </c>
      <c r="H106" s="84" t="inlineStr">
        <is>
          <t>所有系统/玩法界面逐项套用</t>
        </is>
      </c>
      <c r="I106" s="101" t="n"/>
    </row>
    <row r="107" ht="30" customHeight="1">
      <c r="A107" s="86" t="n"/>
      <c r="B107" s="86" t="n"/>
      <c r="C107" s="86" t="n"/>
      <c r="D107" s="91" t="inlineStr">
        <is>
          <t>⑩文本输入(适用时)：IME中文输入候选框、手柄虚拟键盘</t>
        </is>
      </c>
      <c r="E107" s="84" t="n"/>
      <c r="F107" s="83" t="inlineStr">
        <is>
          <t>1.7.1,1.7.2</t>
        </is>
      </c>
      <c r="G107" s="92" t="inlineStr">
        <is>
          <t>新增</t>
        </is>
      </c>
      <c r="H107" s="84" t="inlineStr">
        <is>
          <t>所有系统/玩法界面逐项套用</t>
        </is>
      </c>
      <c r="I107" s="101" t="n"/>
    </row>
    <row r="108" ht="16" customHeight="1">
      <c r="A108" s="86" t="n"/>
      <c r="B108" s="86" t="n"/>
      <c r="C108" s="87" t="n"/>
      <c r="D108" s="91" t="inlineStr">
        <is>
          <t>⑪三端走查验收：界面内每个操作都用键鼠/手柄/触屏逐项走查</t>
        </is>
      </c>
      <c r="E108" s="84" t="n"/>
      <c r="F108" s="83" t="inlineStr"/>
      <c r="G108" s="92" t="inlineStr">
        <is>
          <t>新增</t>
        </is>
      </c>
      <c r="H108" s="84" t="inlineStr">
        <is>
          <t>所有系统/玩法界面逐项套用</t>
        </is>
      </c>
      <c r="I108" s="101" t="n"/>
    </row>
    <row r="109" ht="44" customHeight="1">
      <c r="A109" s="86" t="n"/>
      <c r="B109" s="86" t="n"/>
      <c r="C109" s="84" t="inlineStr">
        <is>
          <t>基础系统</t>
        </is>
      </c>
      <c r="D109" s="102" t="inlineStr">
        <is>
          <t>适用通用检查清单①~⑪；专项：所有系统界面通用改造:大屏重排、鼠标悬停/tooltip、手柄焦点导航、底部操作提示栏</t>
        </is>
      </c>
      <c r="E109" s="84" t="n"/>
      <c r="F109" s="83" t="inlineStr">
        <is>
          <t>3.2.4,3.3.1,1.6.2,2.2.3</t>
        </is>
      </c>
      <c r="G109" s="103" t="inlineStr">
        <is>
          <t>清单化改写</t>
        </is>
      </c>
      <c r="H109" s="84" t="n"/>
      <c r="I109" s="101" t="n"/>
    </row>
    <row r="110" ht="30" customHeight="1">
      <c r="A110" s="86" t="n"/>
      <c r="B110" s="86" t="n"/>
      <c r="C110" s="84" t="inlineStr">
        <is>
          <t>设置系统</t>
        </is>
      </c>
      <c r="D110" s="102" t="inlineStr">
        <is>
          <t>适用通用检查清单①~⑪；专项：设置界面全键盘/手柄可操作;新增PC专属设置页(画质/显示/按键)</t>
        </is>
      </c>
      <c r="E110" s="84" t="n"/>
      <c r="F110" s="83" t="inlineStr">
        <is>
          <t>2.3.3</t>
        </is>
      </c>
      <c r="G110" s="103" t="inlineStr">
        <is>
          <t>清单化改写</t>
        </is>
      </c>
      <c r="H110" s="84" t="n"/>
      <c r="I110" s="101" t="n"/>
    </row>
    <row r="111" ht="30" customHeight="1">
      <c r="A111" s="86" t="n"/>
      <c r="B111" s="86" t="n"/>
      <c r="C111" s="84" t="inlineStr">
        <is>
          <t>任务系统</t>
        </is>
      </c>
      <c r="D111" s="102" t="inlineStr">
        <is>
          <t>适用通用检查清单①~⑪；专项：任务追踪快捷键(如J/V)、任务列表悬停与滚轮滚动</t>
        </is>
      </c>
      <c r="E111" s="84" t="n"/>
      <c r="F111" s="83" t="n"/>
      <c r="G111" s="103" t="inlineStr">
        <is>
          <t>清单化改写</t>
        </is>
      </c>
      <c r="H111" s="84" t="n"/>
      <c r="I111" s="101" t="n"/>
    </row>
    <row r="112" ht="30" customHeight="1">
      <c r="A112" s="86" t="n"/>
      <c r="B112" s="86" t="n"/>
      <c r="C112" s="84" t="inlineStr">
        <is>
          <t>提示指引</t>
        </is>
      </c>
      <c r="D112" s="102" t="inlineStr">
        <is>
          <t>适用通用检查清单①~⑪；专项：指引按当前输入设备显示键位;复杂界面接F1帮助</t>
        </is>
      </c>
      <c r="E112" s="84" t="n"/>
      <c r="F112" s="83" t="inlineStr">
        <is>
          <t>3.4.1,2.3.5</t>
        </is>
      </c>
      <c r="G112" s="103" t="inlineStr">
        <is>
          <t>清单化改写</t>
        </is>
      </c>
      <c r="H112" s="84" t="n"/>
      <c r="I112" s="101" t="n"/>
    </row>
    <row r="113" ht="44" customHeight="1">
      <c r="A113" s="86" t="n"/>
      <c r="B113" s="86" t="n"/>
      <c r="C113" s="84" t="inlineStr">
        <is>
          <t>聊天系统</t>
        </is>
      </c>
      <c r="D113" s="102" t="inlineStr">
        <is>
          <t>适用通用检查清单①~⑪；专项：Enter发送/Esc取消、IME候选框、复制粘贴与历史、手柄虚拟键盘</t>
        </is>
      </c>
      <c r="E113" s="84" t="n"/>
      <c r="F113" s="83" t="inlineStr">
        <is>
          <t>1.3.8,1.7.1,1.7.2,1.7.3</t>
        </is>
      </c>
      <c r="G113" s="103" t="inlineStr">
        <is>
          <t>清单化改写</t>
        </is>
      </c>
      <c r="H113" s="84" t="n"/>
      <c r="I113" s="101" t="n"/>
    </row>
    <row r="114" ht="30" customHeight="1">
      <c r="A114" s="86" t="n"/>
      <c r="B114" s="86" t="n"/>
      <c r="C114" s="84" t="inlineStr">
        <is>
          <t>副本流程线管</t>
        </is>
      </c>
      <c r="D114" s="102" t="inlineStr">
        <is>
          <t>适用通用检查清单①~⑪；专项：进本/匹配/结算流程中确认、跳过、准备等按键提示与快捷键</t>
        </is>
      </c>
      <c r="E114" s="84" t="n"/>
      <c r="F114" s="83" t="n"/>
      <c r="G114" s="103" t="inlineStr">
        <is>
          <t>清单化改写</t>
        </is>
      </c>
      <c r="H114" s="84" t="n"/>
      <c r="I114" s="101" t="n"/>
    </row>
    <row r="115" ht="30" customHeight="1">
      <c r="A115" s="86" t="n"/>
      <c r="B115" s="86" t="n"/>
      <c r="C115" s="84" t="inlineStr">
        <is>
          <t>社交基建</t>
        </is>
      </c>
      <c r="D115" s="102" t="inlineStr">
        <is>
          <t>适用通用检查清单①~⑪；专项：组队/邀请/信号等社交快捷键,右键上下文菜单</t>
        </is>
      </c>
      <c r="E115" s="84" t="n"/>
      <c r="F115" s="83" t="inlineStr">
        <is>
          <t>1.3.8,3.3.7</t>
        </is>
      </c>
      <c r="G115" s="103" t="inlineStr">
        <is>
          <t>清单化改写</t>
        </is>
      </c>
      <c r="H115" s="84" t="n"/>
      <c r="I115" s="101" t="n"/>
    </row>
    <row r="116" ht="30" customHeight="1">
      <c r="A116" s="86" t="n"/>
      <c r="B116" s="86" t="n"/>
      <c r="C116" s="84" t="inlineStr">
        <is>
          <t>好友社交</t>
        </is>
      </c>
      <c r="D116" s="102" t="inlineStr">
        <is>
          <t>适用通用检查清单①~⑪；专项：好友列表右键菜单、悬停名片、滚轮滚动</t>
        </is>
      </c>
      <c r="E116" s="84" t="n"/>
      <c r="F116" s="83" t="inlineStr">
        <is>
          <t>3.3.7</t>
        </is>
      </c>
      <c r="G116" s="103" t="inlineStr">
        <is>
          <t>清单化改写</t>
        </is>
      </c>
      <c r="H116" s="84" t="n"/>
      <c r="I116" s="101" t="n"/>
    </row>
    <row r="117" ht="30" customHeight="1">
      <c r="A117" s="86" t="n"/>
      <c r="B117" s="86" t="n"/>
      <c r="C117" s="84" t="inlineStr">
        <is>
          <t>赛季系统</t>
        </is>
      </c>
      <c r="D117" s="102" t="inlineStr">
        <is>
          <t>适用通用检查清单①~⑪；专项：赛季页大屏重排、奖励列表悬停tooltip与滚轮</t>
        </is>
      </c>
      <c r="E117" s="84" t="n"/>
      <c r="F117" s="83" t="n"/>
      <c r="G117" s="103" t="inlineStr">
        <is>
          <t>清单化改写</t>
        </is>
      </c>
      <c r="H117" s="84" t="n"/>
      <c r="I117" s="101" t="n"/>
    </row>
    <row r="118" ht="30" customHeight="1">
      <c r="A118" s="86" t="n"/>
      <c r="B118" s="86" t="n"/>
      <c r="C118" s="84" t="inlineStr">
        <is>
          <t>打造相关</t>
        </is>
      </c>
      <c r="D118" s="102" t="inlineStr">
        <is>
          <t>适用通用检查清单①~⑪；专项：装备模型预览旋转缩放、批量制作、素材tooltip</t>
        </is>
      </c>
      <c r="E118" s="84" t="n"/>
      <c r="F118" s="83" t="inlineStr">
        <is>
          <t>2.2.4,3.3.6</t>
        </is>
      </c>
      <c r="G118" s="103" t="inlineStr">
        <is>
          <t>清单化改写</t>
        </is>
      </c>
      <c r="H118" s="84" t="n"/>
      <c r="I118" s="101" t="n"/>
    </row>
    <row r="119" ht="30" customHeight="1">
      <c r="A119" s="86" t="n"/>
      <c r="B119" s="86" t="n"/>
      <c r="C119" s="84" t="inlineStr">
        <is>
          <t>调查&amp;猎人手记</t>
        </is>
      </c>
      <c r="D119" s="102" t="inlineStr">
        <is>
          <t>适用通用检查清单①~⑪；专项：图鉴翻页/筛选快捷键(Q/E、Tab)、模型预览</t>
        </is>
      </c>
      <c r="E119" s="84" t="n"/>
      <c r="F119" s="83" t="inlineStr">
        <is>
          <t>1.3.7,2.2.4</t>
        </is>
      </c>
      <c r="G119" s="103" t="inlineStr">
        <is>
          <t>清单化改写</t>
        </is>
      </c>
      <c r="H119" s="84" t="n"/>
      <c r="I119" s="101" t="n"/>
    </row>
    <row r="120" ht="44" customHeight="1">
      <c r="A120" s="86" t="n"/>
      <c r="B120" s="86" t="n"/>
      <c r="C120" s="84" t="inlineStr">
        <is>
          <t>道具系统</t>
        </is>
      </c>
      <c r="D120" s="102" t="inlineStr">
        <is>
          <t>适用通用检查清单①~⑪；专项：背包拖拽、双击使用、Shift/Ctrl批量、右键菜单、快捷栏配置</t>
        </is>
      </c>
      <c r="E120" s="84" t="n"/>
      <c r="F120" s="83" t="inlineStr">
        <is>
          <t>3.3.5,3.3.6,3.3.7,1.3.6</t>
        </is>
      </c>
      <c r="G120" s="103" t="inlineStr">
        <is>
          <t>清单化改写</t>
        </is>
      </c>
      <c r="H120" s="84" t="n"/>
      <c r="I120" s="101" t="n"/>
    </row>
    <row r="121" ht="30" customHeight="1">
      <c r="A121" s="86" t="n"/>
      <c r="B121" s="86" t="n"/>
      <c r="C121" s="84" t="inlineStr">
        <is>
          <t>冒险家系统</t>
        </is>
      </c>
      <c r="D121" s="102" t="inlineStr">
        <is>
          <t>适用通用检查清单①~⑪；专项：角色界面快捷键(如C)、属性tooltip</t>
        </is>
      </c>
      <c r="E121" s="84" t="n"/>
      <c r="F121" s="83" t="inlineStr">
        <is>
          <t>1.3.10</t>
        </is>
      </c>
      <c r="G121" s="103" t="inlineStr">
        <is>
          <t>清单化改写</t>
        </is>
      </c>
      <c r="H121" s="84" t="n"/>
      <c r="I121" s="101" t="n"/>
    </row>
    <row r="122" ht="16" customHeight="1">
      <c r="A122" s="86" t="n"/>
      <c r="B122" s="86" t="n"/>
      <c r="C122" s="84" t="inlineStr">
        <is>
          <t>随从系统</t>
        </is>
      </c>
      <c r="D122" s="102" t="inlineStr">
        <is>
          <t>适用通用检查清单①~⑪；专项：随从界面大屏重排与手柄焦点导航</t>
        </is>
      </c>
      <c r="E122" s="84" t="n"/>
      <c r="F122" s="83" t="inlineStr">
        <is>
          <t>1.6.2</t>
        </is>
      </c>
      <c r="G122" s="103" t="inlineStr">
        <is>
          <t>清单化改写</t>
        </is>
      </c>
      <c r="H122" s="84" t="n"/>
      <c r="I122" s="101" t="n"/>
    </row>
    <row r="123" ht="30" customHeight="1">
      <c r="A123" s="86" t="n"/>
      <c r="B123" s="86" t="n"/>
      <c r="C123" s="84" t="inlineStr">
        <is>
          <t>装备系统</t>
        </is>
      </c>
      <c r="D123" s="102" t="inlineStr">
        <is>
          <t>适用通用检查清单①~⑪；专项：装备对比tooltip、模型预览、一键换装快捷键</t>
        </is>
      </c>
      <c r="E123" s="84" t="n"/>
      <c r="F123" s="83" t="inlineStr">
        <is>
          <t>2.2.4,3.3.1</t>
        </is>
      </c>
      <c r="G123" s="103" t="inlineStr">
        <is>
          <t>清单化改写</t>
        </is>
      </c>
      <c r="H123" s="84" t="n"/>
      <c r="I123" s="101" t="n"/>
    </row>
    <row r="124" ht="30" customHeight="1">
      <c r="A124" s="86" t="n"/>
      <c r="B124" s="87" t="n"/>
      <c r="C124" s="84" t="inlineStr">
        <is>
          <t>护符系统</t>
        </is>
      </c>
      <c r="D124" s="102" t="inlineStr">
        <is>
          <t>适用通用检查清单①~⑪；专项：护符筛选排序快捷键、批量操作</t>
        </is>
      </c>
      <c r="E124" s="84" t="n"/>
      <c r="F124" s="83" t="inlineStr">
        <is>
          <t>1.3.7,3.3.6</t>
        </is>
      </c>
      <c r="G124" s="103" t="inlineStr">
        <is>
          <t>清单化改写</t>
        </is>
      </c>
      <c r="H124" s="84" t="n"/>
      <c r="I124" s="101" t="n"/>
    </row>
    <row r="125" ht="30" customHeight="1">
      <c r="A125" s="86" t="n"/>
      <c r="B125" s="83" t="inlineStr">
        <is>
          <t>玩法系统改造</t>
        </is>
      </c>
      <c r="C125" s="84" t="inlineStr">
        <is>
          <t>基础流程</t>
        </is>
      </c>
      <c r="D125" s="102" t="inlineStr">
        <is>
          <t>适用通用检查清单①~⑪；专项：大厅/营地/出发流程的键鼠手柄交互与提示</t>
        </is>
      </c>
      <c r="E125" s="84" t="n"/>
      <c r="F125" s="83" t="n"/>
      <c r="G125" s="103" t="inlineStr">
        <is>
          <t>清单化改写</t>
        </is>
      </c>
      <c r="H125" s="84" t="n"/>
      <c r="I125" s="101" t="n"/>
    </row>
    <row r="126" ht="30" customHeight="1">
      <c r="A126" s="86" t="n"/>
      <c r="B126" s="86" t="n"/>
      <c r="C126" s="84" t="inlineStr">
        <is>
          <t>调查玩法</t>
        </is>
      </c>
      <c r="D126" s="102" t="inlineStr">
        <is>
          <t>适用通用检查清单①~⑪；专项：调查点交互提示,滑索/弹射器建造键位</t>
        </is>
      </c>
      <c r="E126" s="84" t="n"/>
      <c r="F126" s="83" t="inlineStr">
        <is>
          <t>2.2.1,1.2.6</t>
        </is>
      </c>
      <c r="G126" s="103" t="inlineStr">
        <is>
          <t>清单化改写</t>
        </is>
      </c>
      <c r="H126" s="84" t="n"/>
    </row>
    <row r="127" ht="72" customHeight="1">
      <c r="A127" s="86" t="n"/>
      <c r="B127" s="86" t="n"/>
      <c r="C127" s="84" t="inlineStr">
        <is>
          <t>狩猎副本</t>
        </is>
      </c>
      <c r="D127" s="102" t="inlineStr">
        <is>
          <t>适用通用检查清单①~⑪；专项：战斗核心默认键位方案与各武器专属键位</t>
        </is>
      </c>
      <c r="E127" s="84" t="n"/>
      <c r="F127" s="83" t="inlineStr">
        <is>
          <t>1.2.1,1.2.2,1.2.3,1.2.4,1.2.7,1.2.8,1.2.10</t>
        </is>
      </c>
      <c r="G127" s="103" t="inlineStr">
        <is>
          <t>清单化改写</t>
        </is>
      </c>
      <c r="H127" s="84" t="n"/>
    </row>
    <row r="128" ht="30" customHeight="1">
      <c r="A128" s="86" t="n"/>
      <c r="B128" s="86" t="n"/>
      <c r="C128" s="84" t="inlineStr">
        <is>
          <t>试炼副本</t>
        </is>
      </c>
      <c r="D128" s="102" t="inlineStr">
        <is>
          <t>适用通用检查清单①~⑪；专项：计时/重开/退出等快捷操作与ESC菜单</t>
        </is>
      </c>
      <c r="E128" s="84" t="n"/>
      <c r="F128" s="83" t="inlineStr">
        <is>
          <t>1.3.1</t>
        </is>
      </c>
      <c r="G128" s="103" t="inlineStr">
        <is>
          <t>清单化改写</t>
        </is>
      </c>
      <c r="H128" s="84" t="n"/>
    </row>
    <row r="129" ht="30" customHeight="1">
      <c r="A129" s="86" t="n"/>
      <c r="B129" s="86" t="n"/>
      <c r="C129" s="84" t="inlineStr">
        <is>
          <t>斗技副本</t>
        </is>
      </c>
      <c r="D129" s="102" t="inlineStr">
        <is>
          <t>适用通用检查清单①~⑪；专项：同狩猎副本,另需排行榜/结算界面适配</t>
        </is>
      </c>
      <c r="E129" s="84" t="n"/>
      <c r="F129" s="83" t="n"/>
      <c r="G129" s="103" t="inlineStr">
        <is>
          <t>清单化改写</t>
        </is>
      </c>
      <c r="H129" s="84" t="n"/>
    </row>
    <row r="130" ht="16" customHeight="1">
      <c r="A130" s="86" t="n"/>
      <c r="B130" s="86" t="n"/>
      <c r="C130" s="84" t="inlineStr">
        <is>
          <t>冒险团</t>
        </is>
      </c>
      <c r="D130" s="102" t="inlineStr">
        <is>
          <t>适用通用检查清单①~⑪；专项：团队界面列表、右键菜单、聊天联动</t>
        </is>
      </c>
      <c r="E130" s="84" t="n"/>
      <c r="F130" s="83" t="inlineStr">
        <is>
          <t>3.3.7</t>
        </is>
      </c>
      <c r="G130" s="103" t="inlineStr">
        <is>
          <t>清单化改写</t>
        </is>
      </c>
      <c r="H130" s="84" t="n"/>
    </row>
    <row r="131" ht="30" customHeight="1">
      <c r="A131" s="86" t="n"/>
      <c r="B131" s="86" t="n"/>
      <c r="C131" s="84" t="inlineStr">
        <is>
          <t>活动玩法</t>
        </is>
      </c>
      <c r="D131" s="102" t="inlineStr">
        <is>
          <t>适用通用检查清单①~⑪；专项：活动页(含H5)键鼠手柄可操作与尺寸适配</t>
        </is>
      </c>
      <c r="E131" s="84" t="n"/>
      <c r="F131" s="83" t="inlineStr">
        <is>
          <t>3.4.5</t>
        </is>
      </c>
      <c r="G131" s="103" t="inlineStr">
        <is>
          <t>清单化改写</t>
        </is>
      </c>
      <c r="H131" s="84" t="n"/>
    </row>
    <row r="132" ht="16" customHeight="1">
      <c r="A132" s="86" t="n"/>
      <c r="B132" s="86" t="n"/>
      <c r="C132" s="84" t="inlineStr">
        <is>
          <t>功能性副本</t>
        </is>
      </c>
      <c r="D132" s="102" t="inlineStr">
        <is>
          <t>适用通用检查清单①~⑪；专项：按副本玩法逐一梳理专属交互</t>
        </is>
      </c>
      <c r="E132" s="84" t="n"/>
      <c r="F132" s="83" t="n"/>
      <c r="G132" s="103" t="inlineStr">
        <is>
          <t>清单化改写</t>
        </is>
      </c>
      <c r="H132" s="84" t="n"/>
    </row>
    <row r="133" ht="16" customHeight="1">
      <c r="A133" s="86" t="n"/>
      <c r="B133" s="86" t="n"/>
      <c r="C133" s="84" t="inlineStr">
        <is>
          <t>自动寻路等手游便利功能</t>
        </is>
      </c>
      <c r="D133" s="84" t="inlineStr">
        <is>
          <t>评估保留、加快捷键或PC端弱化</t>
        </is>
      </c>
      <c r="E133" s="84" t="n"/>
      <c r="F133" s="83" t="inlineStr">
        <is>
          <t>3.5.4</t>
        </is>
      </c>
      <c r="G133" s="83" t="n"/>
      <c r="H133" s="84" t="n"/>
    </row>
    <row r="134" ht="30" customHeight="1">
      <c r="A134" s="86" t="n"/>
      <c r="B134" s="87" t="n"/>
      <c r="C134" s="91" t="inlineStr">
        <is>
          <t>排行榜按设备分开</t>
        </is>
      </c>
      <c r="D134" s="91" t="inlineStr">
        <is>
          <t>斗技/试炼等排行榜PC与手机分榜;PVE联机不分端;需定义设备判定口径(如外接键鼠的平板算哪一端)</t>
        </is>
      </c>
      <c r="E134" s="84" t="n"/>
      <c r="F134" s="83" t="inlineStr"/>
      <c r="G134" s="92" t="inlineStr">
        <is>
          <t>新增</t>
        </is>
      </c>
      <c r="H134" s="84" t="inlineStr">
        <is>
          <t>决策:分开;参考王者荣耀世界/三角洲行动PVP按设备分开匹配</t>
        </is>
      </c>
    </row>
    <row r="135" ht="16" customHeight="1">
      <c r="A135" s="86" t="n"/>
      <c r="B135" s="83" t="inlineStr">
        <is>
          <t>运营相关</t>
        </is>
      </c>
      <c r="C135" s="84" t="inlineStr">
        <is>
          <t>账号/登录系统</t>
        </is>
      </c>
      <c r="D135" s="84" t="inlineStr">
        <is>
          <t>PC扫码登录、启动器、手柄可操作</t>
        </is>
      </c>
      <c r="E135" s="84" t="n"/>
      <c r="F135" s="83" t="inlineStr">
        <is>
          <t>3.4.4</t>
        </is>
      </c>
      <c r="G135" s="83" t="n"/>
      <c r="H135" s="84" t="n"/>
    </row>
    <row r="136" ht="30" customHeight="1">
      <c r="A136" s="86" t="n"/>
      <c r="B136" s="86" t="n"/>
      <c r="C136" s="84" t="inlineStr">
        <is>
          <t>角色创建</t>
        </is>
      </c>
      <c r="D136" s="84" t="inlineStr">
        <is>
          <t>捏脸模型旋转缩放,命名支持IME与手柄虚拟键盘</t>
        </is>
      </c>
      <c r="E136" s="84" t="n"/>
      <c r="F136" s="83" t="inlineStr">
        <is>
          <t>2.2.4,1.7.1,1.7.2</t>
        </is>
      </c>
      <c r="G136" s="83" t="n"/>
      <c r="H136" s="84" t="n"/>
    </row>
    <row r="137" ht="30" customHeight="1">
      <c r="A137" s="86" t="n"/>
      <c r="B137" s="86" t="n"/>
      <c r="C137" s="84" t="inlineStr">
        <is>
          <t>通用功能</t>
        </is>
      </c>
      <c r="D137" s="84" t="inlineStr">
        <is>
          <t>公告/邮件/弹窗等通用界面的ESC关闭与滚轮滚动</t>
        </is>
      </c>
      <c r="E137" s="84" t="n"/>
      <c r="F137" s="83" t="inlineStr">
        <is>
          <t>1.3.1,3.3.3</t>
        </is>
      </c>
      <c r="G137" s="83" t="n"/>
      <c r="H137" s="84" t="n"/>
    </row>
    <row r="138" ht="16" customHeight="1">
      <c r="A138" s="86" t="n"/>
      <c r="B138" s="86" t="n"/>
      <c r="C138" s="84" t="inlineStr">
        <is>
          <t>多人场景</t>
        </is>
      </c>
      <c r="D138" s="84" t="inlineStr">
        <is>
          <t>多人场景性能档位(人数/特效降级)、社交快捷操作</t>
        </is>
      </c>
      <c r="E138" s="84" t="n"/>
      <c r="F138" s="83" t="n"/>
      <c r="G138" s="83" t="n"/>
      <c r="H138" s="84" t="n"/>
    </row>
    <row r="139" ht="16" customHeight="1">
      <c r="A139" s="86" t="n"/>
      <c r="B139" s="86" t="n"/>
      <c r="C139" s="84" t="inlineStr">
        <is>
          <t>商业化系统</t>
        </is>
      </c>
      <c r="D139" s="84" t="inlineStr">
        <is>
          <t>商城/支付WebView适配、PC支付渠道、价格与合规展示</t>
        </is>
      </c>
      <c r="E139" s="84" t="n"/>
      <c r="F139" s="83" t="inlineStr">
        <is>
          <t>3.4.5</t>
        </is>
      </c>
      <c r="G139" s="83" t="n"/>
      <c r="H139" s="84" t="n"/>
    </row>
    <row r="140" ht="30" customHeight="1">
      <c r="A140" s="86" t="n"/>
      <c r="B140" s="86" t="n"/>
      <c r="C140" s="84" t="inlineStr">
        <is>
          <t>活动系统</t>
        </is>
      </c>
      <c r="D140" s="84" t="inlineStr">
        <is>
          <t>活动入口快捷键(如F1)、H5活动页适配</t>
        </is>
      </c>
      <c r="E140" s="84" t="n"/>
      <c r="F140" s="83" t="inlineStr">
        <is>
          <t>1.3.10,3.4.5</t>
        </is>
      </c>
      <c r="G140" s="83" t="n"/>
      <c r="H140" s="84" t="n"/>
    </row>
    <row r="141" ht="30" customHeight="1">
      <c r="A141" s="86" t="n"/>
      <c r="B141" s="87" t="n"/>
      <c r="C141" s="91" t="inlineStr">
        <is>
          <t>PC支付与充值规则</t>
        </is>
      </c>
      <c r="D141" s="91" t="inlineStr">
        <is>
          <t>PC端支付方式(扫码支付等);iOS与安卓/PC之间充值余额的互通规则</t>
        </is>
      </c>
      <c r="E141" s="84" t="n"/>
      <c r="F141" s="83" t="inlineStr">
        <is>
          <t>3.4.5</t>
        </is>
      </c>
      <c r="G141" s="92" t="inlineStr">
        <is>
          <t>新增</t>
        </is>
      </c>
      <c r="H141" s="84" t="inlineStr">
        <is>
          <t>受苹果充值政策约束,需与运营/法务确认</t>
        </is>
      </c>
    </row>
    <row r="142" ht="30" customHeight="1">
      <c r="A142" s="86" t="n"/>
      <c r="B142" s="83" t="inlineStr">
        <is>
          <t>图片文字</t>
        </is>
      </c>
      <c r="C142" s="84" t="n"/>
      <c r="D142" s="84" t="inlineStr">
        <is>
          <t>图片高清化、最小字号规范与字号调节、长键名排版</t>
        </is>
      </c>
      <c r="E142" s="84" t="n"/>
      <c r="F142" s="83" t="inlineStr">
        <is>
          <t>3.1.8,3.1.7,2.4.6</t>
        </is>
      </c>
      <c r="G142" s="83" t="n"/>
      <c r="H142" s="84" t="n"/>
    </row>
    <row r="143" ht="16" customHeight="1">
      <c r="A143" s="86" t="n"/>
      <c r="B143" s="83" t="inlineStr">
        <is>
          <t>新手引导专项</t>
        </is>
      </c>
      <c r="C143" s="84" t="inlineStr">
        <is>
          <t>PC教程配置框架改造</t>
        </is>
      </c>
      <c r="D143" s="84" t="inlineStr">
        <is>
          <t>教程配置支持按输入设备(键鼠/手柄/触屏)分支</t>
        </is>
      </c>
      <c r="E143" s="84" t="n"/>
      <c r="F143" s="83" t="inlineStr">
        <is>
          <t>3.4.1</t>
        </is>
      </c>
      <c r="G143" s="83" t="n"/>
      <c r="H143" s="84" t="n"/>
    </row>
    <row r="144" ht="30" customHeight="1">
      <c r="A144" s="86" t="n"/>
      <c r="B144" s="86" t="n"/>
      <c r="C144" s="84" t="inlineStr">
        <is>
          <t>键鼠新手教程</t>
        </is>
      </c>
      <c r="D144" s="84" t="inlineStr">
        <is>
          <t>键鼠版新手教程(基础操作、连招、部位锁定)</t>
        </is>
      </c>
      <c r="E144" s="84" t="n"/>
      <c r="F144" s="83" t="inlineStr">
        <is>
          <t>3.4.1,3.4.2,3.4.3</t>
        </is>
      </c>
      <c r="G144" s="83" t="n"/>
      <c r="H144" s="84" t="n"/>
    </row>
    <row r="145" ht="16" customHeight="1">
      <c r="A145" s="86" t="n"/>
      <c r="B145" s="86" t="n"/>
      <c r="C145" s="84" t="inlineStr">
        <is>
          <t>手柄新手教程</t>
        </is>
      </c>
      <c r="D145" s="84" t="inlineStr">
        <is>
          <t>手柄版新手教程</t>
        </is>
      </c>
      <c r="E145" s="84" t="n"/>
      <c r="F145" s="83" t="inlineStr">
        <is>
          <t>3.4.1</t>
        </is>
      </c>
      <c r="G145" s="83" t="n"/>
      <c r="H145" s="84" t="n"/>
    </row>
    <row r="146" ht="30" customHeight="1">
      <c r="A146" s="87" t="n"/>
      <c r="B146" s="87" t="n"/>
      <c r="C146" s="84" t="inlineStr">
        <is>
          <t>教程图片适配</t>
        </is>
      </c>
      <c r="D146" s="84" t="inlineStr">
        <is>
          <t>教程图片按设备出多套,或用动态键帽生成</t>
        </is>
      </c>
      <c r="E146" s="84" t="n"/>
      <c r="F146" s="83" t="inlineStr">
        <is>
          <t>2.4.8,3.1.8</t>
        </is>
      </c>
      <c r="G146" s="83" t="n"/>
      <c r="H146" s="84" t="n"/>
    </row>
  </sheetData>
  <autoFilter ref="A3:H146"/>
  <mergeCells count="30">
    <mergeCell ref="A31:A80"/>
    <mergeCell ref="A1:D2"/>
    <mergeCell ref="B12:B13"/>
    <mergeCell ref="B8:B9"/>
    <mergeCell ref="E1:E2"/>
    <mergeCell ref="B97:B124"/>
    <mergeCell ref="B93:B96"/>
    <mergeCell ref="B14:B15"/>
    <mergeCell ref="B29:B30"/>
    <mergeCell ref="B125:B134"/>
    <mergeCell ref="F1:H2"/>
    <mergeCell ref="B52:B61"/>
    <mergeCell ref="B25:B27"/>
    <mergeCell ref="B16:B18"/>
    <mergeCell ref="B10:B11"/>
    <mergeCell ref="B31:B51"/>
    <mergeCell ref="B76:B80"/>
    <mergeCell ref="B19:B20"/>
    <mergeCell ref="A81:A146"/>
    <mergeCell ref="B65:B75"/>
    <mergeCell ref="B62:B64"/>
    <mergeCell ref="B81:B92"/>
    <mergeCell ref="B135:B141"/>
    <mergeCell ref="B143:B146"/>
    <mergeCell ref="B21:B23"/>
    <mergeCell ref="C4:C6"/>
    <mergeCell ref="A21:A30"/>
    <mergeCell ref="C98:C108"/>
    <mergeCell ref="A4:A20"/>
    <mergeCell ref="B4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4"/>
  <cols>
    <col width="18" customWidth="1" min="1" max="1"/>
    <col width="9" customWidth="1" min="2" max="2"/>
    <col width="11" customWidth="1" min="3" max="7"/>
    <col width="12" customWidth="1" min="8" max="9"/>
  </cols>
  <sheetData>
    <row r="1" ht="16.5" customHeight="1">
      <c r="A1" s="4" t="inlineStr">
        <is>
          <t>一、按大类 × 角色(人天)</t>
        </is>
      </c>
    </row>
    <row r="2" ht="26" customHeight="1">
      <c r="A2" s="20" t="inlineStr">
        <is>
          <t>大类</t>
        </is>
      </c>
      <c r="B2" s="20" t="inlineStr">
        <is>
          <t>条目数</t>
        </is>
      </c>
      <c r="C2" s="20" t="inlineStr">
        <is>
          <t>策划/交互</t>
        </is>
      </c>
      <c r="D2" s="20" t="inlineStr">
        <is>
          <t>UI美术</t>
        </is>
      </c>
      <c r="E2" s="20" t="inlineStr">
        <is>
          <t>客户端</t>
        </is>
      </c>
      <c r="F2" s="20" t="inlineStr">
        <is>
          <t>TA/引擎</t>
        </is>
      </c>
      <c r="G2" s="20" t="inlineStr">
        <is>
          <t>QA</t>
        </is>
      </c>
      <c r="H2" s="20" t="inlineStr">
        <is>
          <t>合计</t>
        </is>
      </c>
    </row>
    <row r="3" ht="14.5" customHeight="1">
      <c r="A3" s="2" t="inlineStr">
        <is>
          <t>1-输入与操控</t>
        </is>
      </c>
      <c r="B3" s="5">
        <f>COUNTIF(全量清单!$B$2:$B$131,$A3)</f>
        <v/>
      </c>
      <c r="C3" s="95">
        <f>SUMIFS(全量清单!$K$2:$K$131,全量清单!$B$2:$B$131,$A3)</f>
        <v/>
      </c>
      <c r="D3" s="95">
        <f>SUMIFS(全量清单!$L$2:$L$131,全量清单!$B$2:$B$131,$A3)</f>
        <v/>
      </c>
      <c r="E3" s="95">
        <f>SUMIFS(全量清单!$M$2:$M$131,全量清单!$B$2:$B$131,$A3)</f>
        <v/>
      </c>
      <c r="F3" s="95">
        <f>SUMIFS(全量清单!$N$2:$N$131,全量清单!$B$2:$B$131,$A3)</f>
        <v/>
      </c>
      <c r="G3" s="95">
        <f>SUMIFS(全量清单!$O$2:$O$131,全量清单!$B$2:$B$131,$A3)</f>
        <v/>
      </c>
      <c r="H3" s="96">
        <f>SUM(C3:G3)</f>
        <v/>
      </c>
    </row>
    <row r="4" ht="14.5" customHeight="1">
      <c r="A4" s="2" t="inlineStr">
        <is>
          <t>2-快捷键显示</t>
        </is>
      </c>
      <c r="B4" s="5">
        <f>COUNTIF(全量清单!$B$2:$B$131,$A4)</f>
        <v/>
      </c>
      <c r="C4" s="95">
        <f>SUMIFS(全量清单!$K$2:$K$131,全量清单!$B$2:$B$131,$A4)</f>
        <v/>
      </c>
      <c r="D4" s="95">
        <f>SUMIFS(全量清单!$L$2:$L$131,全量清单!$B$2:$B$131,$A4)</f>
        <v/>
      </c>
      <c r="E4" s="95">
        <f>SUMIFS(全量清单!$M$2:$M$131,全量清单!$B$2:$B$131,$A4)</f>
        <v/>
      </c>
      <c r="F4" s="95">
        <f>SUMIFS(全量清单!$N$2:$N$131,全量清单!$B$2:$B$131,$A4)</f>
        <v/>
      </c>
      <c r="G4" s="95">
        <f>SUMIFS(全量清单!$O$2:$O$131,全量清单!$B$2:$B$131,$A4)</f>
        <v/>
      </c>
      <c r="H4" s="96">
        <f>SUM(C4:G4)</f>
        <v/>
      </c>
    </row>
    <row r="5" ht="14.5" customHeight="1">
      <c r="A5" s="2" t="inlineStr">
        <is>
          <t>3-界面UIUX</t>
        </is>
      </c>
      <c r="B5" s="5">
        <f>COUNTIF(全量清单!$B$2:$B$131,$A5)</f>
        <v/>
      </c>
      <c r="C5" s="95">
        <f>SUMIFS(全量清单!$K$2:$K$131,全量清单!$B$2:$B$131,$A5)</f>
        <v/>
      </c>
      <c r="D5" s="95">
        <f>SUMIFS(全量清单!$L$2:$L$131,全量清单!$B$2:$B$131,$A5)</f>
        <v/>
      </c>
      <c r="E5" s="95">
        <f>SUMIFS(全量清单!$M$2:$M$131,全量清单!$B$2:$B$131,$A5)</f>
        <v/>
      </c>
      <c r="F5" s="95">
        <f>SUMIFS(全量清单!$N$2:$N$131,全量清单!$B$2:$B$131,$A5)</f>
        <v/>
      </c>
      <c r="G5" s="95">
        <f>SUMIFS(全量清单!$O$2:$O$131,全量清单!$B$2:$B$131,$A5)</f>
        <v/>
      </c>
      <c r="H5" s="96">
        <f>SUM(C5:G5)</f>
        <v/>
      </c>
    </row>
    <row r="6" ht="14.5" customHeight="1">
      <c r="A6" s="2" t="inlineStr">
        <is>
          <t>4-画面与性能</t>
        </is>
      </c>
      <c r="B6" s="5">
        <f>COUNTIF(全量清单!$B$2:$B$131,$A6)</f>
        <v/>
      </c>
      <c r="C6" s="95">
        <f>SUMIFS(全量清单!$K$2:$K$131,全量清单!$B$2:$B$131,$A6)</f>
        <v/>
      </c>
      <c r="D6" s="95">
        <f>SUMIFS(全量清单!$L$2:$L$131,全量清单!$B$2:$B$131,$A6)</f>
        <v/>
      </c>
      <c r="E6" s="95">
        <f>SUMIFS(全量清单!$M$2:$M$131,全量清单!$B$2:$B$131,$A6)</f>
        <v/>
      </c>
      <c r="F6" s="95">
        <f>SUMIFS(全量清单!$N$2:$N$131,全量清单!$B$2:$B$131,$A6)</f>
        <v/>
      </c>
      <c r="G6" s="95">
        <f>SUMIFS(全量清单!$O$2:$O$131,全量清单!$B$2:$B$131,$A6)</f>
        <v/>
      </c>
      <c r="H6" s="96">
        <f>SUM(C6:G6)</f>
        <v/>
      </c>
    </row>
    <row r="7" ht="14.5" customHeight="1">
      <c r="A7" s="2" t="inlineStr">
        <is>
          <t>小计</t>
        </is>
      </c>
      <c r="B7" s="2">
        <f>SUM(B3:B6)</f>
        <v/>
      </c>
      <c r="C7" s="96">
        <f>SUM(C3:C6)</f>
        <v/>
      </c>
      <c r="D7" s="96">
        <f>SUM(D3:D6)</f>
        <v/>
      </c>
      <c r="E7" s="96">
        <f>SUM(E3:E6)</f>
        <v/>
      </c>
      <c r="F7" s="96">
        <f>SUM(F3:F6)</f>
        <v/>
      </c>
      <c r="G7" s="96">
        <f>SUM(G3:G6)</f>
        <v/>
      </c>
      <c r="H7" s="96">
        <f>SUM(H3:H6)</f>
        <v/>
      </c>
    </row>
    <row r="8" ht="14.5" customHeight="1">
      <c r="A8" s="2" t="inlineStr">
        <is>
          <t>×风险系数</t>
        </is>
      </c>
      <c r="B8" s="2" t="n"/>
      <c r="C8" s="96">
        <f>C7*假设参数!$B$12</f>
        <v/>
      </c>
      <c r="D8" s="96">
        <f>D7*假设参数!$B$12</f>
        <v/>
      </c>
      <c r="E8" s="96">
        <f>E7*假设参数!$B$12</f>
        <v/>
      </c>
      <c r="F8" s="96">
        <f>F7*假设参数!$B$12</f>
        <v/>
      </c>
      <c r="G8" s="96">
        <f>G7*假设参数!$B$12</f>
        <v/>
      </c>
      <c r="H8" s="96">
        <f>H7*假设参数!$B$12</f>
        <v/>
      </c>
    </row>
    <row r="9" ht="14.5" customHeight="1">
      <c r="A9" s="2" t="inlineStr">
        <is>
          <t>折合人月</t>
        </is>
      </c>
      <c r="B9" s="2" t="n"/>
      <c r="C9" s="96">
        <f>C8/假设参数!$B$13</f>
        <v/>
      </c>
      <c r="D9" s="96">
        <f>D8/假设参数!$B$13</f>
        <v/>
      </c>
      <c r="E9" s="96">
        <f>E8/假设参数!$B$13</f>
        <v/>
      </c>
      <c r="F9" s="96">
        <f>F8/假设参数!$B$13</f>
        <v/>
      </c>
      <c r="G9" s="96">
        <f>G8/假设参数!$B$13</f>
        <v/>
      </c>
      <c r="H9" s="96">
        <f>H8/假设参数!$B$13</f>
        <v/>
      </c>
    </row>
    <row r="10"/>
    <row r="11" ht="16.5" customHeight="1">
      <c r="A11" s="4" t="inlineStr">
        <is>
          <t>二、按优先级(人天)</t>
        </is>
      </c>
    </row>
    <row r="12" ht="26" customHeight="1">
      <c r="A12" s="20" t="inlineStr">
        <is>
          <t>优先级</t>
        </is>
      </c>
      <c r="B12" s="20" t="inlineStr">
        <is>
          <t>条目数</t>
        </is>
      </c>
      <c r="C12" s="20" t="inlineStr">
        <is>
          <t>合计人天</t>
        </is>
      </c>
      <c r="D12" s="20" t="inlineStr">
        <is>
          <t>×风险系数</t>
        </is>
      </c>
      <c r="E12" s="20" t="inlineStr">
        <is>
          <t>折合人月</t>
        </is>
      </c>
      <c r="F12" s="20" t="inlineStr">
        <is>
          <t>说明</t>
        </is>
      </c>
      <c r="G12" s="18" t="n"/>
      <c r="H12" s="18" t="n"/>
      <c r="I12" s="19" t="n"/>
    </row>
    <row r="13" ht="32" customHeight="1">
      <c r="A13" s="8" t="inlineStr">
        <is>
          <t>P0</t>
        </is>
      </c>
      <c r="B13" s="5">
        <f>COUNTIF(全量清单!$I$2:$I$131,A13)</f>
        <v/>
      </c>
      <c r="C13" s="95">
        <f>SUMIFS(全量清单!$P$2:$P$131,全量清单!$I$2:$I$131,A13)</f>
        <v/>
      </c>
      <c r="D13" s="95">
        <f>C13*假设参数!$B$12</f>
        <v/>
      </c>
      <c r="E13" s="95">
        <f>D13/假设参数!$B$13</f>
        <v/>
      </c>
      <c r="F13" s="17" t="inlineStr">
        <is>
          <t>地基与上线必需:输入抽象层、热切换、图标体系、ESC/光标、HUD提示、焦点导航、帧率与兼容</t>
        </is>
      </c>
      <c r="G13" s="18" t="n"/>
      <c r="H13" s="18" t="n"/>
      <c r="I13" s="19" t="n"/>
    </row>
    <row r="14" ht="32" customHeight="1">
      <c r="A14" s="9" t="inlineStr">
        <is>
          <t>P1</t>
        </is>
      </c>
      <c r="B14" s="5">
        <f>COUNTIF(全量清单!$I$2:$I$131,A14)</f>
        <v/>
      </c>
      <c r="C14" s="95">
        <f>SUMIFS(全量清单!$P$2:$P$131,全量清单!$I$2:$I$131,A14)</f>
        <v/>
      </c>
      <c r="D14" s="95">
        <f>C14*假设参数!$B$12</f>
        <v/>
      </c>
      <c r="E14" s="95">
        <f>D14/假设参数!$B$13</f>
        <v/>
      </c>
      <c r="F14" s="17" t="inlineStr">
        <is>
          <t>体验关键:界面快捷键规范、鼠标态、大屏重排、改键辅助、画质细项</t>
        </is>
      </c>
      <c r="G14" s="18" t="n"/>
      <c r="H14" s="18" t="n"/>
      <c r="I14" s="19" t="n"/>
    </row>
    <row r="15" ht="32" customHeight="1">
      <c r="A15" s="10" t="inlineStr">
        <is>
          <t>P2</t>
        </is>
      </c>
      <c r="B15" s="5">
        <f>COUNTIF(全量清单!$I$2:$I$131,A15)</f>
        <v/>
      </c>
      <c r="C15" s="95">
        <f>SUMIFS(全量清单!$P$2:$P$131,全量清单!$I$2:$I$131,A15)</f>
        <v/>
      </c>
      <c r="D15" s="95">
        <f>C15*假设参数!$B$12</f>
        <v/>
      </c>
      <c r="E15" s="95">
        <f>D15/假设参数!$B$13</f>
        <v/>
      </c>
      <c r="F15" s="17" t="inlineStr">
        <is>
          <t>增强项:光追/DLSS、HDR、手柄高级特性、批量/拖拽、键位云同步</t>
        </is>
      </c>
      <c r="G15" s="18" t="n"/>
      <c r="H15" s="18" t="n"/>
      <c r="I15" s="19" t="n"/>
    </row>
    <row r="16"/>
    <row r="17" ht="16.5" customHeight="1">
      <c r="A17" s="99" t="n"/>
      <c r="B17" s="99" t="n"/>
      <c r="C17" s="99" t="n"/>
      <c r="D17" s="99" t="n"/>
      <c r="E17" s="99" t="n"/>
      <c r="F17" s="99" t="n"/>
      <c r="G17" s="99" t="n"/>
      <c r="H17" s="99" t="n"/>
      <c r="I17" s="99" t="n"/>
    </row>
    <row r="18" ht="26" customHeight="1">
      <c r="A18" s="100" t="n"/>
      <c r="B18" s="100" t="n"/>
      <c r="C18" s="100" t="n"/>
      <c r="D18" s="100" t="n"/>
      <c r="E18" s="100" t="n"/>
      <c r="F18" s="100" t="n"/>
      <c r="G18" s="99" t="n"/>
      <c r="H18" s="99" t="n"/>
      <c r="I18" s="99" t="n"/>
    </row>
    <row r="19" ht="43.5" customHeight="1">
      <c r="A19" s="100" t="n"/>
      <c r="B19" s="100" t="n"/>
      <c r="C19" s="104" t="n"/>
      <c r="D19" s="105" t="n"/>
      <c r="E19" s="99" t="n"/>
      <c r="F19" s="99" t="n"/>
      <c r="G19" s="99" t="n"/>
      <c r="H19" s="99" t="n"/>
      <c r="I19" s="99" t="n"/>
    </row>
    <row r="20" ht="29" customHeight="1">
      <c r="A20" s="100" t="n"/>
      <c r="B20" s="100" t="n"/>
      <c r="C20" s="104" t="n"/>
      <c r="D20" s="105" t="n"/>
      <c r="E20" s="99" t="n"/>
      <c r="F20" s="99" t="n"/>
      <c r="G20" s="99" t="n"/>
      <c r="H20" s="99" t="n"/>
      <c r="I20" s="99" t="n"/>
    </row>
    <row r="21" ht="43.5" customHeight="1">
      <c r="A21" s="100" t="n"/>
      <c r="B21" s="100" t="n"/>
      <c r="C21" s="104" t="n"/>
      <c r="D21" s="105" t="n"/>
      <c r="E21" s="99" t="n"/>
      <c r="F21" s="99" t="n"/>
      <c r="G21" s="99" t="n"/>
      <c r="H21" s="99" t="n"/>
      <c r="I21" s="99" t="n"/>
    </row>
  </sheetData>
  <mergeCells count="4">
    <mergeCell ref="F14:I14"/>
    <mergeCell ref="F13:I13"/>
    <mergeCell ref="F15:I15"/>
    <mergeCell ref="F12:I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4"/>
  <cols>
    <col width="36" customWidth="1" min="1" max="1"/>
    <col width="10" customWidth="1" min="2" max="2"/>
    <col width="40" customWidth="1" min="3" max="3"/>
  </cols>
  <sheetData>
    <row r="1" ht="26" customHeight="1">
      <c r="A1" s="20" t="inlineStr">
        <is>
          <t>参数</t>
        </is>
      </c>
      <c r="B1" s="20" t="inlineStr">
        <is>
          <t>数值</t>
        </is>
      </c>
      <c r="C1" s="20" t="inlineStr">
        <is>
          <t>说明</t>
        </is>
      </c>
    </row>
    <row r="2" ht="14.5" customHeight="1">
      <c r="A2" s="17" t="inlineStr">
        <is>
          <t>需适配的系统/交互界面数量(个)</t>
        </is>
      </c>
      <c r="B2" s="12" t="n">
        <v>60</v>
      </c>
      <c r="C2" s="17" t="inlineStr">
        <is>
          <t>待内部盘点旅人实际界面数后替换</t>
        </is>
      </c>
    </row>
    <row r="3" ht="14.5" customHeight="1">
      <c r="A3" s="17" t="inlineStr">
        <is>
          <t>手柄焦点导航·单界面客户端人天</t>
        </is>
      </c>
      <c r="B3" s="12" t="n">
        <v>0.5</v>
      </c>
      <c r="C3" s="17" t="inlineStr">
        <is>
          <t>含焦点顺序、焦点记忆、快捷键位</t>
        </is>
      </c>
    </row>
    <row r="4" ht="14.5" customHeight="1">
      <c r="A4" s="17" t="inlineStr">
        <is>
          <t>手柄焦点导航·单界面QA人天</t>
        </is>
      </c>
      <c r="B4" s="12" t="n">
        <v>0.15</v>
      </c>
      <c r="C4" s="17" t="n"/>
    </row>
    <row r="5" ht="14.5" customHeight="1">
      <c r="A5" s="17" t="inlineStr">
        <is>
          <t>鼠标态适配·单界面客户端人天</t>
        </is>
      </c>
      <c r="B5" s="12" t="n">
        <v>0.25</v>
      </c>
      <c r="C5" s="17" t="inlineStr">
        <is>
          <t>悬停、tooltip、滚轮、右键返回</t>
        </is>
      </c>
    </row>
    <row r="6" ht="14.5" customHeight="1">
      <c r="A6" s="17" t="inlineStr">
        <is>
          <t>快捷键提示接入·单界面UI人天</t>
        </is>
      </c>
      <c r="B6" s="12" t="n">
        <v>0.15</v>
      </c>
      <c r="C6" s="17" t="inlineStr">
        <is>
          <t>底部操作提示栏排版</t>
        </is>
      </c>
    </row>
    <row r="7" ht="14.5" customHeight="1">
      <c r="A7" s="17" t="inlineStr">
        <is>
          <t>快捷键提示接入·单界面客户端人天</t>
        </is>
      </c>
      <c r="B7" s="12" t="n">
        <v>0.2</v>
      </c>
      <c r="C7" s="17" t="inlineStr">
        <is>
          <t>绑定读取与刷新</t>
        </is>
      </c>
    </row>
    <row r="8" ht="14.5" customHeight="1">
      <c r="A8" s="17" t="inlineStr">
        <is>
          <t>大屏重排·单界面UI人天</t>
        </is>
      </c>
      <c r="B8" s="12" t="n">
        <v>0.5</v>
      </c>
      <c r="C8" s="17" t="inlineStr">
        <is>
          <t>仅对需重排的界面,按全部界面粗估</t>
        </is>
      </c>
    </row>
    <row r="9" ht="14.5" customHeight="1">
      <c r="A9" s="17" t="inlineStr">
        <is>
          <t>大屏重排·单界面客户端人天</t>
        </is>
      </c>
      <c r="B9" s="12" t="n">
        <v>0.3</v>
      </c>
      <c r="C9" s="17" t="n"/>
    </row>
    <row r="10" ht="14.5" customHeight="1">
      <c r="A10" s="17" t="inlineStr">
        <is>
          <t>武器/角色数量(需出键位方案)</t>
        </is>
      </c>
      <c r="B10" s="12" t="n">
        <v>8</v>
      </c>
      <c r="C10" s="17" t="inlineStr">
        <is>
          <t>旅人实际武器数待确认</t>
        </is>
      </c>
    </row>
    <row r="11" ht="14.5" customHeight="1">
      <c r="A11" s="17" t="inlineStr">
        <is>
          <t>单武器键位方案·策划人天</t>
        </is>
      </c>
      <c r="B11" s="12" t="n">
        <v>1</v>
      </c>
      <c r="C11" s="17" t="inlineStr">
        <is>
          <t>含键鼠+手柄两套</t>
        </is>
      </c>
    </row>
    <row r="12" ht="14.5" customHeight="1">
      <c r="A12" s="17" t="inlineStr">
        <is>
          <t>风险系数(联调/返工/沟通)</t>
        </is>
      </c>
      <c r="B12" s="12" t="n">
        <v>1.3</v>
      </c>
      <c r="C12" s="17" t="inlineStr">
        <is>
          <t>估算区间约 ±30%</t>
        </is>
      </c>
    </row>
    <row r="13" ht="14.5" customHeight="1">
      <c r="A13" s="17" t="inlineStr">
        <is>
          <t>每人月工作日</t>
        </is>
      </c>
      <c r="B13" s="12" t="n">
        <v>22</v>
      </c>
      <c r="C13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"/>
  <cols>
    <col width="8" customWidth="1" min="1" max="1"/>
    <col width="12" customWidth="1" min="2" max="2"/>
    <col width="16" customWidth="1" min="3" max="3"/>
    <col width="22" customWidth="1" min="4" max="4"/>
    <col width="26" customWidth="1" min="5" max="5"/>
    <col width="30" customWidth="1" min="6" max="6"/>
    <col width="32" customWidth="1" min="7" max="7"/>
    <col width="11" customWidth="1" min="8" max="8"/>
    <col width="7" customWidth="1" min="9" max="10"/>
    <col width="8" customWidth="1" min="11" max="14"/>
    <col width="7" customWidth="1" min="15" max="15"/>
    <col width="9" customWidth="1" min="16" max="16"/>
    <col width="8" customWidth="1" min="17" max="17"/>
    <col width="20" customWidth="1" min="18" max="18"/>
    <col width="12" customWidth="1" min="19" max="19"/>
    <col width="34" customWidth="1" min="20" max="20"/>
  </cols>
  <sheetData>
    <row r="1" ht="26" customHeight="1">
      <c r="A1" s="20" t="inlineStr">
        <is>
          <t>编号</t>
        </is>
      </c>
      <c r="B1" s="20" t="inlineStr">
        <is>
          <t>大类</t>
        </is>
      </c>
      <c r="C1" s="20" t="inlineStr">
        <is>
          <t>子类</t>
        </is>
      </c>
      <c r="D1" s="20" t="inlineStr">
        <is>
          <t>功能差异点</t>
        </is>
      </c>
      <c r="E1" s="20" t="inlineStr">
        <is>
          <t>移动端现状</t>
        </is>
      </c>
      <c r="F1" s="20" t="inlineStr">
        <is>
          <t>PC端参考做法</t>
        </is>
      </c>
      <c r="G1" s="20" t="inlineStr">
        <is>
          <t>旅人PC需做的适配</t>
        </is>
      </c>
      <c r="H1" s="20" t="inlineStr">
        <is>
          <t>参考来源</t>
        </is>
      </c>
      <c r="I1" s="20" t="inlineStr">
        <is>
          <t>优先级</t>
        </is>
      </c>
      <c r="J1" s="20" t="inlineStr">
        <is>
          <t>复杂度</t>
        </is>
      </c>
      <c r="K1" s="20" t="inlineStr">
        <is>
          <t>策划/交互</t>
        </is>
      </c>
      <c r="L1" s="20" t="inlineStr">
        <is>
          <t>UI美术</t>
        </is>
      </c>
      <c r="M1" s="20" t="inlineStr">
        <is>
          <t>客户端</t>
        </is>
      </c>
      <c r="N1" s="20" t="inlineStr">
        <is>
          <t>TA/引擎</t>
        </is>
      </c>
      <c r="O1" s="20" t="inlineStr">
        <is>
          <t>QA</t>
        </is>
      </c>
      <c r="P1" s="20" t="inlineStr">
        <is>
          <t>合计人天</t>
        </is>
      </c>
      <c r="Q1" s="20" t="inlineStr">
        <is>
          <t>状态</t>
        </is>
      </c>
      <c r="R1" s="20" t="inlineStr">
        <is>
          <t>备注</t>
        </is>
      </c>
    </row>
    <row r="2" ht="43.5" customHeight="1">
      <c r="A2" s="5" t="inlineStr">
        <is>
          <t>1.1.1</t>
        </is>
      </c>
      <c r="B2" s="17" t="inlineStr">
        <is>
          <t>1-输入与操控</t>
        </is>
      </c>
      <c r="C2" s="17" t="inlineStr">
        <is>
          <t>1.1 设备与底层</t>
        </is>
      </c>
      <c r="D2" s="17" t="inlineStr">
        <is>
          <t>输入设备谱系</t>
        </is>
      </c>
      <c r="E2" s="17" t="inlineStr">
        <is>
          <t>旅人:纯触屏(虚拟摇杆+按键);鸣潮手机:触屏+可接蓝牙手柄</t>
        </is>
      </c>
      <c r="F2" s="17" t="inlineStr">
        <is>
          <t>荒野:键鼠+手柄双轨;鸣潮PC:键鼠为主可切手柄,PS5 DualSense适配</t>
        </is>
      </c>
      <c r="G2" s="17" t="inlineStr">
        <is>
          <t>确定PC端设备矩阵:键鼠+Xbox/DualSense/第三方手柄,是否含陀螺仪/震动</t>
        </is>
      </c>
      <c r="H2" s="5" t="inlineStr">
        <is>
          <t>S6,S1</t>
        </is>
      </c>
      <c r="I2" s="8" t="inlineStr">
        <is>
          <t>P0</t>
        </is>
      </c>
      <c r="J2" s="5" t="inlineStr">
        <is>
          <t>S</t>
        </is>
      </c>
      <c r="K2" s="95" t="n">
        <v>2</v>
      </c>
      <c r="L2" s="95" t="n">
        <v>0</v>
      </c>
      <c r="M2" s="95" t="n">
        <v>1</v>
      </c>
      <c r="N2" s="95" t="n">
        <v>0</v>
      </c>
      <c r="O2" s="95" t="n">
        <v>1</v>
      </c>
      <c r="P2" s="96">
        <f>SUM(K2:O2)</f>
        <v/>
      </c>
      <c r="Q2" s="5" t="inlineStr">
        <is>
          <t>待评审</t>
        </is>
      </c>
      <c r="R2" s="17" t="n"/>
    </row>
    <row r="3" ht="29" customHeight="1">
      <c r="A3" s="5" t="inlineStr">
        <is>
          <t>1.1.2</t>
        </is>
      </c>
      <c r="B3" s="17" t="inlineStr">
        <is>
          <t>1-输入与操控</t>
        </is>
      </c>
      <c r="C3" s="17" t="inlineStr">
        <is>
          <t>1.1 设备与底层</t>
        </is>
      </c>
      <c r="D3" s="17" t="inlineStr">
        <is>
          <t>键鼠/手柄热切换</t>
        </is>
      </c>
      <c r="E3" s="17" t="inlineStr">
        <is>
          <t>无</t>
        </is>
      </c>
      <c r="F3" s="17" t="inlineStr">
        <is>
          <t>鸣潮PC:全局无缝键鼠↔手柄热切换,动一下设备即切对应界面</t>
        </is>
      </c>
      <c r="G3" s="17" t="inlineStr">
        <is>
          <t>任意I/O输入即激活对应设备并切换整套提示</t>
        </is>
      </c>
      <c r="H3" s="5" t="inlineStr">
        <is>
          <t>S9,S6</t>
        </is>
      </c>
      <c r="I3" s="8" t="inlineStr">
        <is>
          <t>P0</t>
        </is>
      </c>
      <c r="J3" s="5" t="inlineStr">
        <is>
          <t>M</t>
        </is>
      </c>
      <c r="K3" s="95" t="n">
        <v>2</v>
      </c>
      <c r="L3" s="95" t="n">
        <v>0</v>
      </c>
      <c r="M3" s="95" t="n">
        <v>8</v>
      </c>
      <c r="N3" s="95" t="n">
        <v>0</v>
      </c>
      <c r="O3" s="95" t="n">
        <v>4</v>
      </c>
      <c r="P3" s="96">
        <f>SUM(K3:O3)</f>
        <v/>
      </c>
      <c r="Q3" s="5" t="inlineStr">
        <is>
          <t>待评审</t>
        </is>
      </c>
      <c r="R3" s="17" t="n"/>
    </row>
    <row r="4" ht="29" customHeight="1">
      <c r="A4" s="5" t="inlineStr">
        <is>
          <t>1.1.3</t>
        </is>
      </c>
      <c r="B4" s="17" t="inlineStr">
        <is>
          <t>1-输入与操控</t>
        </is>
      </c>
      <c r="C4" s="17" t="inlineStr">
        <is>
          <t>1.1 设备与底层</t>
        </is>
      </c>
      <c r="D4" s="17" t="inlineStr">
        <is>
          <t>多显示器/串流下设备判定</t>
        </is>
      </c>
      <c r="E4" s="17" t="inlineStr">
        <is>
          <t>无</t>
        </is>
      </c>
      <c r="F4" s="17" t="inlineStr">
        <is>
          <t>鸣潮PC:显示设备切换智能判定</t>
        </is>
      </c>
      <c r="G4" s="17" t="inlineStr">
        <is>
          <t>输入设备与显示设备解耦,避免串流/多屏误判</t>
        </is>
      </c>
      <c r="H4" s="5" t="inlineStr">
        <is>
          <t>S10</t>
        </is>
      </c>
      <c r="I4" s="10" t="inlineStr">
        <is>
          <t>P2</t>
        </is>
      </c>
      <c r="J4" s="5" t="inlineStr">
        <is>
          <t>M</t>
        </is>
      </c>
      <c r="K4" s="95" t="n">
        <v>1</v>
      </c>
      <c r="L4" s="95" t="n">
        <v>0</v>
      </c>
      <c r="M4" s="95" t="n">
        <v>4</v>
      </c>
      <c r="N4" s="95" t="n">
        <v>0</v>
      </c>
      <c r="O4" s="95" t="n">
        <v>3</v>
      </c>
      <c r="P4" s="96">
        <f>SUM(K4:O4)</f>
        <v/>
      </c>
      <c r="Q4" s="5" t="inlineStr">
        <is>
          <t>待评审</t>
        </is>
      </c>
      <c r="R4" s="17" t="n"/>
    </row>
    <row r="5" ht="43.5" customHeight="1">
      <c r="A5" s="5" t="inlineStr">
        <is>
          <t>1.1.4</t>
        </is>
      </c>
      <c r="B5" s="17" t="inlineStr">
        <is>
          <t>1-输入与操控</t>
        </is>
      </c>
      <c r="C5" s="17" t="inlineStr">
        <is>
          <t>1.1 设备与底层</t>
        </is>
      </c>
      <c r="D5" s="17" t="inlineStr">
        <is>
          <t>手柄型号识别</t>
        </is>
      </c>
      <c r="E5" s="17" t="inlineStr">
        <is>
          <t>手机蓝牙手柄常被识别为Xbox</t>
        </is>
      </c>
      <c r="F5" s="17" t="inlineStr">
        <is>
          <t>鸣潮:识别后自动切换图标;DS4Windows伪装时显示Xbox图标</t>
        </is>
      </c>
      <c r="G5" s="17" t="inlineStr">
        <is>
          <t>按VID/PID识别Xbox/DualSense/Switch Pro,未知手柄回退Xbox图标</t>
        </is>
      </c>
      <c r="H5" s="5" t="inlineStr">
        <is>
          <t>S22</t>
        </is>
      </c>
      <c r="I5" s="8" t="inlineStr">
        <is>
          <t>P0</t>
        </is>
      </c>
      <c r="J5" s="5" t="inlineStr">
        <is>
          <t>M</t>
        </is>
      </c>
      <c r="K5" s="95" t="n">
        <v>1</v>
      </c>
      <c r="L5" s="95" t="n">
        <v>0</v>
      </c>
      <c r="M5" s="95" t="n">
        <v>5</v>
      </c>
      <c r="N5" s="95" t="n">
        <v>0</v>
      </c>
      <c r="O5" s="95" t="n">
        <v>4</v>
      </c>
      <c r="P5" s="96">
        <f>SUM(K5:O5)</f>
        <v/>
      </c>
      <c r="Q5" s="5" t="inlineStr">
        <is>
          <t>待评审</t>
        </is>
      </c>
      <c r="R5" s="17" t="n"/>
    </row>
    <row r="6" ht="29" customHeight="1">
      <c r="A6" s="5" t="inlineStr">
        <is>
          <t>1.1.5</t>
        </is>
      </c>
      <c r="B6" s="17" t="inlineStr">
        <is>
          <t>1-输入与操控</t>
        </is>
      </c>
      <c r="C6" s="17" t="inlineStr">
        <is>
          <t>1.1 设备与底层</t>
        </is>
      </c>
      <c r="D6" s="17" t="inlineStr">
        <is>
          <t>PC输入API接入</t>
        </is>
      </c>
      <c r="E6" s="17" t="inlineStr">
        <is>
          <t>手机触屏事件</t>
        </is>
      </c>
      <c r="F6" s="17" t="inlineStr">
        <is>
          <t>Xbox推荐GameInput API;Steam Deck推荐Steam Input API</t>
        </is>
      </c>
      <c r="G6" s="17" t="inlineStr">
        <is>
          <t>选型并接入PC输入API(含DualSense原生支持)</t>
        </is>
      </c>
      <c r="H6" s="5" t="inlineStr">
        <is>
          <t>S17,S18</t>
        </is>
      </c>
      <c r="I6" s="8" t="inlineStr">
        <is>
          <t>P0</t>
        </is>
      </c>
      <c r="J6" s="5" t="inlineStr">
        <is>
          <t>L</t>
        </is>
      </c>
      <c r="K6" s="95" t="n">
        <v>1</v>
      </c>
      <c r="L6" s="95" t="n">
        <v>0</v>
      </c>
      <c r="M6" s="95" t="n">
        <v>12</v>
      </c>
      <c r="N6" s="95" t="n">
        <v>0</v>
      </c>
      <c r="O6" s="95" t="n">
        <v>4</v>
      </c>
      <c r="P6" s="96">
        <f>SUM(K6:O6)</f>
        <v/>
      </c>
      <c r="Q6" s="5" t="inlineStr">
        <is>
          <t>待评审</t>
        </is>
      </c>
      <c r="R6" s="17" t="inlineStr">
        <is>
          <t>引擎现状未知,可能已有部分支持</t>
        </is>
      </c>
    </row>
    <row r="7" ht="29" customHeight="1">
      <c r="A7" s="5" t="inlineStr">
        <is>
          <t>1.1.6</t>
        </is>
      </c>
      <c r="B7" s="17" t="inlineStr">
        <is>
          <t>1-输入与操控</t>
        </is>
      </c>
      <c r="C7" s="17" t="inlineStr">
        <is>
          <t>1.1 设备与底层</t>
        </is>
      </c>
      <c r="D7" s="17" t="inlineStr">
        <is>
          <t>输入抽象层(Action Mapping)重构</t>
        </is>
      </c>
      <c r="E7" s="17" t="inlineStr">
        <is>
          <t>触屏按钮直接绑定逻辑</t>
        </is>
      </c>
      <c r="F7" s="17" t="inlineStr">
        <is>
          <t>荒野/鸣潮:动作→多设备绑定,可重映射</t>
        </is>
      </c>
      <c r="G7" s="17" t="inlineStr">
        <is>
          <t>触屏按钮→抽象Action→键鼠/手柄/触屏多绑定;是改键、提示、热切换的地基</t>
        </is>
      </c>
      <c r="H7" s="5" t="inlineStr">
        <is>
          <t>S3,S6,EXP</t>
        </is>
      </c>
      <c r="I7" s="8" t="inlineStr">
        <is>
          <t>P0</t>
        </is>
      </c>
      <c r="J7" s="5" t="inlineStr">
        <is>
          <t>XL</t>
        </is>
      </c>
      <c r="K7" s="95" t="n">
        <v>5</v>
      </c>
      <c r="L7" s="95" t="n">
        <v>0</v>
      </c>
      <c r="M7" s="95" t="n">
        <v>25</v>
      </c>
      <c r="N7" s="95" t="n">
        <v>0</v>
      </c>
      <c r="O7" s="95" t="n">
        <v>6</v>
      </c>
      <c r="P7" s="96">
        <f>SUM(K7:O7)</f>
        <v/>
      </c>
      <c r="Q7" s="5" t="inlineStr">
        <is>
          <t>待评审</t>
        </is>
      </c>
      <c r="R7" s="17" t="inlineStr">
        <is>
          <t>工作量最大的底层项</t>
        </is>
      </c>
    </row>
    <row r="8" ht="29" customHeight="1">
      <c r="A8" s="5" t="inlineStr">
        <is>
          <t>1.1.7</t>
        </is>
      </c>
      <c r="B8" s="17" t="inlineStr">
        <is>
          <t>1-输入与操控</t>
        </is>
      </c>
      <c r="C8" s="17" t="inlineStr">
        <is>
          <t>1.1 设备与底层</t>
        </is>
      </c>
      <c r="D8" s="17" t="inlineStr">
        <is>
          <t>PC触屏设备(触屏笔记本/二合一)</t>
        </is>
      </c>
      <c r="E8" s="17" t="inlineStr">
        <is>
          <t>触屏原生</t>
        </is>
      </c>
      <c r="F8" s="17" t="inlineStr">
        <is>
          <t>Xbox掌机指南:建议保留原生触控</t>
        </is>
      </c>
      <c r="G8" s="17" t="inlineStr">
        <is>
          <t>决定PC端是否保留触屏UI作为第三输入模式</t>
        </is>
      </c>
      <c r="H8" s="5" t="inlineStr">
        <is>
          <t>S18</t>
        </is>
      </c>
      <c r="I8" s="10" t="inlineStr">
        <is>
          <t>P2</t>
        </is>
      </c>
      <c r="J8" s="5" t="inlineStr">
        <is>
          <t>M</t>
        </is>
      </c>
      <c r="K8" s="95" t="n">
        <v>1</v>
      </c>
      <c r="L8" s="95" t="n">
        <v>1</v>
      </c>
      <c r="M8" s="95" t="n">
        <v>4</v>
      </c>
      <c r="N8" s="95" t="n">
        <v>0</v>
      </c>
      <c r="O8" s="95" t="n">
        <v>2</v>
      </c>
      <c r="P8" s="96">
        <f>SUM(K8:O8)</f>
        <v/>
      </c>
      <c r="Q8" s="5" t="inlineStr">
        <is>
          <t>待评审</t>
        </is>
      </c>
      <c r="R8" s="17" t="n"/>
    </row>
    <row r="9" ht="29" customHeight="1">
      <c r="A9" s="5" t="inlineStr">
        <is>
          <t>1.2.1</t>
        </is>
      </c>
      <c r="B9" s="17" t="inlineStr">
        <is>
          <t>1-输入与操控</t>
        </is>
      </c>
      <c r="C9" s="17" t="inlineStr">
        <is>
          <t>1.2 默认键位映射</t>
        </is>
      </c>
      <c r="D9" s="17" t="inlineStr">
        <is>
          <t>普通攻击</t>
        </is>
      </c>
      <c r="E9" s="17" t="inlineStr">
        <is>
          <t>旅人:点按=轻击、长按=重击</t>
        </is>
      </c>
      <c r="F9" s="17" t="inlineStr">
        <is>
          <t>荒野:△=鼠标左键;鸣潮PC:左键连点连段、长按重击</t>
        </is>
      </c>
      <c r="G9" s="17" t="inlineStr">
        <is>
          <t>确认点按/长按的键鼠等价表达</t>
        </is>
      </c>
      <c r="H9" s="5" t="inlineStr">
        <is>
          <t>S2,S3,S6</t>
        </is>
      </c>
      <c r="I9" s="8" t="inlineStr">
        <is>
          <t>P0</t>
        </is>
      </c>
      <c r="J9" s="5" t="inlineStr">
        <is>
          <t>S</t>
        </is>
      </c>
      <c r="K9" s="95" t="n">
        <v>1</v>
      </c>
      <c r="L9" s="95" t="n">
        <v>0</v>
      </c>
      <c r="M9" s="95" t="n">
        <v>1</v>
      </c>
      <c r="N9" s="95" t="n">
        <v>0</v>
      </c>
      <c r="O9" s="95" t="n">
        <v>1</v>
      </c>
      <c r="P9" s="96">
        <f>SUM(K9:O9)</f>
        <v/>
      </c>
      <c r="Q9" s="5" t="inlineStr">
        <is>
          <t>待评审</t>
        </is>
      </c>
      <c r="R9" s="17" t="n"/>
    </row>
    <row r="10" ht="29" customHeight="1">
      <c r="A10" s="5" t="inlineStr">
        <is>
          <t>1.2.2</t>
        </is>
      </c>
      <c r="B10" s="17" t="inlineStr">
        <is>
          <t>1-输入与操控</t>
        </is>
      </c>
      <c r="C10" s="17" t="inlineStr">
        <is>
          <t>1.2 默认键位映射</t>
        </is>
      </c>
      <c r="D10" s="17" t="inlineStr">
        <is>
          <t>技能攻击</t>
        </is>
      </c>
      <c r="E10" s="17" t="inlineStr">
        <is>
          <t>旅人:3个技能键(核心输出/环境交互/爆发)</t>
        </is>
      </c>
      <c r="F10" s="17" t="inlineStr">
        <is>
          <t>荒野:○=右键;鸣潮PC:E技能/R解放/T回声</t>
        </is>
      </c>
      <c r="G10" s="17" t="inlineStr">
        <is>
          <t>3技能键映射到独立键位</t>
        </is>
      </c>
      <c r="H10" s="5" t="inlineStr">
        <is>
          <t>S2,S6</t>
        </is>
      </c>
      <c r="I10" s="8" t="inlineStr">
        <is>
          <t>P0</t>
        </is>
      </c>
      <c r="J10" s="5" t="inlineStr">
        <is>
          <t>S</t>
        </is>
      </c>
      <c r="K10" s="95" t="n">
        <v>1</v>
      </c>
      <c r="L10" s="95" t="n">
        <v>0</v>
      </c>
      <c r="M10" s="95" t="n">
        <v>1</v>
      </c>
      <c r="N10" s="95" t="n">
        <v>0</v>
      </c>
      <c r="O10" s="95" t="n">
        <v>1</v>
      </c>
      <c r="P10" s="96">
        <f>SUM(K10:O10)</f>
        <v/>
      </c>
      <c r="Q10" s="5" t="inlineStr">
        <is>
          <t>待评审</t>
        </is>
      </c>
      <c r="R10" s="17" t="n"/>
    </row>
    <row r="11" ht="29" customHeight="1">
      <c r="A11" s="5" t="inlineStr">
        <is>
          <t>1.2.3</t>
        </is>
      </c>
      <c r="B11" s="17" t="inlineStr">
        <is>
          <t>1-输入与操控</t>
        </is>
      </c>
      <c r="C11" s="17" t="inlineStr">
        <is>
          <t>1.2 默认键位映射</t>
        </is>
      </c>
      <c r="D11" s="17" t="inlineStr">
        <is>
          <t>闪避/受身</t>
        </is>
      </c>
      <c r="E11" s="17" t="inlineStr">
        <is>
          <t>旅人:闪避键,被打飞后可触发受身</t>
        </is>
      </c>
      <c r="F11" s="17" t="inlineStr">
        <is>
          <t>荒野:✕=空格;鸣潮PC:空格或Shift(存疑)</t>
        </is>
      </c>
      <c r="G11" s="17" t="inlineStr">
        <is>
          <t>闪避默认键+受身输入</t>
        </is>
      </c>
      <c r="H11" s="5" t="inlineStr">
        <is>
          <t>S1,S3,S6</t>
        </is>
      </c>
      <c r="I11" s="8" t="inlineStr">
        <is>
          <t>P0</t>
        </is>
      </c>
      <c r="J11" s="5" t="inlineStr">
        <is>
          <t>S</t>
        </is>
      </c>
      <c r="K11" s="95" t="n">
        <v>1</v>
      </c>
      <c r="L11" s="95" t="n">
        <v>0</v>
      </c>
      <c r="M11" s="95" t="n">
        <v>1</v>
      </c>
      <c r="N11" s="95" t="n">
        <v>0</v>
      </c>
      <c r="O11" s="95" t="n">
        <v>1</v>
      </c>
      <c r="P11" s="96">
        <f>SUM(K11:O11)</f>
        <v/>
      </c>
      <c r="Q11" s="5" t="inlineStr">
        <is>
          <t>待评审</t>
        </is>
      </c>
      <c r="R11" s="17" t="n"/>
    </row>
    <row r="12" ht="14.5" customHeight="1">
      <c r="A12" s="5" t="inlineStr">
        <is>
          <t>1.2.4</t>
        </is>
      </c>
      <c r="B12" s="17" t="inlineStr">
        <is>
          <t>1-输入与操控</t>
        </is>
      </c>
      <c r="C12" s="17" t="inlineStr">
        <is>
          <t>1.2 默认键位映射</t>
        </is>
      </c>
      <c r="D12" s="17" t="inlineStr">
        <is>
          <t>冲刺/疾跑</t>
        </is>
      </c>
      <c r="E12" s="17" t="inlineStr">
        <is>
          <t>鸣潮手机:冲刺与前进需分开</t>
        </is>
      </c>
      <c r="F12" s="17" t="inlineStr">
        <is>
          <t>荒野:Shift=冲刺</t>
        </is>
      </c>
      <c r="G12" s="17" t="inlineStr">
        <is>
          <t>明确前进+冲刺的键鼠实现</t>
        </is>
      </c>
      <c r="H12" s="5" t="inlineStr">
        <is>
          <t>S3,S7</t>
        </is>
      </c>
      <c r="I12" s="8" t="inlineStr">
        <is>
          <t>P0</t>
        </is>
      </c>
      <c r="J12" s="5" t="inlineStr">
        <is>
          <t>S</t>
        </is>
      </c>
      <c r="K12" s="95" t="n">
        <v>1</v>
      </c>
      <c r="L12" s="95" t="n">
        <v>0</v>
      </c>
      <c r="M12" s="95" t="n">
        <v>2</v>
      </c>
      <c r="N12" s="95" t="n">
        <v>0</v>
      </c>
      <c r="O12" s="95" t="n">
        <v>1</v>
      </c>
      <c r="P12" s="96">
        <f>SUM(K12:O12)</f>
        <v/>
      </c>
      <c r="Q12" s="5" t="inlineStr">
        <is>
          <t>待评审</t>
        </is>
      </c>
      <c r="R12" s="17" t="n"/>
    </row>
    <row r="13" ht="29" customHeight="1">
      <c r="A13" s="5" t="inlineStr">
        <is>
          <t>1.2.5</t>
        </is>
      </c>
      <c r="B13" s="17" t="inlineStr">
        <is>
          <t>1-输入与操控</t>
        </is>
      </c>
      <c r="C13" s="17" t="inlineStr">
        <is>
          <t>1.2 默认键位映射</t>
        </is>
      </c>
      <c r="D13" s="17" t="inlineStr">
        <is>
          <t>视角/锁定/部位锁定</t>
        </is>
      </c>
      <c r="E13" s="17" t="inlineStr">
        <is>
          <t>旅人:长按锁定键聚焦头/尾部位</t>
        </is>
      </c>
      <c r="F13" s="17" t="inlineStr">
        <is>
          <t>荒野:B=锁定;鸣潮PC:Tab切换目标</t>
        </is>
      </c>
      <c r="G13" s="17" t="inlineStr">
        <is>
          <t>鼠标控视角+锁定键+部位切换的键鼠表达</t>
        </is>
      </c>
      <c r="H13" s="5" t="inlineStr">
        <is>
          <t>S1,S3,S6</t>
        </is>
      </c>
      <c r="I13" s="8" t="inlineStr">
        <is>
          <t>P0</t>
        </is>
      </c>
      <c r="J13" s="5" t="inlineStr">
        <is>
          <t>M</t>
        </is>
      </c>
      <c r="K13" s="95" t="n">
        <v>2</v>
      </c>
      <c r="L13" s="95" t="n">
        <v>0</v>
      </c>
      <c r="M13" s="95" t="n">
        <v>5</v>
      </c>
      <c r="N13" s="95" t="n">
        <v>0</v>
      </c>
      <c r="O13" s="95" t="n">
        <v>2</v>
      </c>
      <c r="P13" s="96">
        <f>SUM(K13:O13)</f>
        <v/>
      </c>
      <c r="Q13" s="5" t="inlineStr">
        <is>
          <t>待评审</t>
        </is>
      </c>
      <c r="R13" s="17" t="n"/>
    </row>
    <row r="14" ht="14.5" customHeight="1">
      <c r="A14" s="5" t="inlineStr">
        <is>
          <t>1.2.6</t>
        </is>
      </c>
      <c r="B14" s="17" t="inlineStr">
        <is>
          <t>1-输入与操控</t>
        </is>
      </c>
      <c r="C14" s="17" t="inlineStr">
        <is>
          <t>1.2 默认键位映射</t>
        </is>
      </c>
      <c r="D14" s="17" t="inlineStr">
        <is>
          <t>建造/滑索/弹射</t>
        </is>
      </c>
      <c r="E14" s="17" t="inlineStr">
        <is>
          <t>旅人:制作键→选建造物</t>
        </is>
      </c>
      <c r="F14" s="17" t="inlineStr">
        <is>
          <t>荒野:钩锁=F;鸣潮PC:钩索=鼠标中键</t>
        </is>
      </c>
      <c r="G14" s="17" t="inlineStr">
        <is>
          <t>建造独立按键+快速选单</t>
        </is>
      </c>
      <c r="H14" s="5" t="inlineStr">
        <is>
          <t>S1,S3,S6</t>
        </is>
      </c>
      <c r="I14" s="9" t="inlineStr">
        <is>
          <t>P1</t>
        </is>
      </c>
      <c r="J14" s="5" t="inlineStr">
        <is>
          <t>M</t>
        </is>
      </c>
      <c r="K14" s="95" t="n">
        <v>2</v>
      </c>
      <c r="L14" s="95" t="n">
        <v>1</v>
      </c>
      <c r="M14" s="95" t="n">
        <v>3</v>
      </c>
      <c r="N14" s="95" t="n">
        <v>0</v>
      </c>
      <c r="O14" s="95" t="n">
        <v>2</v>
      </c>
      <c r="P14" s="96">
        <f>SUM(K14:O14)</f>
        <v/>
      </c>
      <c r="Q14" s="5" t="inlineStr">
        <is>
          <t>待评审</t>
        </is>
      </c>
      <c r="R14" s="17" t="n"/>
    </row>
    <row r="15" ht="14.5" customHeight="1">
      <c r="A15" s="5" t="inlineStr">
        <is>
          <t>1.2.7</t>
        </is>
      </c>
      <c r="B15" s="17" t="inlineStr">
        <is>
          <t>1-输入与操控</t>
        </is>
      </c>
      <c r="C15" s="17" t="inlineStr">
        <is>
          <t>1.2 默认键位映射</t>
        </is>
      </c>
      <c r="D15" s="17" t="inlineStr">
        <is>
          <t>奥义/大招</t>
        </is>
      </c>
      <c r="E15" s="17" t="inlineStr">
        <is>
          <t>旅人:每角色奥义(冷却)</t>
        </is>
      </c>
      <c r="F15" s="17" t="inlineStr">
        <is>
          <t>鸣潮PC:R=共鸣解放</t>
        </is>
      </c>
      <c r="G15" s="17" t="inlineStr">
        <is>
          <t>奥义键独立化</t>
        </is>
      </c>
      <c r="H15" s="5" t="inlineStr">
        <is>
          <t>S1,S6</t>
        </is>
      </c>
      <c r="I15" s="8" t="inlineStr">
        <is>
          <t>P0</t>
        </is>
      </c>
      <c r="J15" s="5" t="inlineStr">
        <is>
          <t>S</t>
        </is>
      </c>
      <c r="K15" s="95" t="n">
        <v>1</v>
      </c>
      <c r="L15" s="95" t="n">
        <v>0</v>
      </c>
      <c r="M15" s="95" t="n">
        <v>1</v>
      </c>
      <c r="N15" s="95" t="n">
        <v>0</v>
      </c>
      <c r="O15" s="95" t="n">
        <v>1</v>
      </c>
      <c r="P15" s="96">
        <f>SUM(K15:O15)</f>
        <v/>
      </c>
      <c r="Q15" s="5" t="inlineStr">
        <is>
          <t>待评审</t>
        </is>
      </c>
      <c r="R15" s="17" t="n"/>
    </row>
    <row r="16" ht="14.5" customHeight="1">
      <c r="A16" s="5" t="inlineStr">
        <is>
          <t>1.2.8</t>
        </is>
      </c>
      <c r="B16" s="17" t="inlineStr">
        <is>
          <t>1-输入与操控</t>
        </is>
      </c>
      <c r="C16" s="17" t="inlineStr">
        <is>
          <t>1.2 默认键位映射</t>
        </is>
      </c>
      <c r="D16" s="17" t="inlineStr">
        <is>
          <t>使用道具/交互</t>
        </is>
      </c>
      <c r="E16" s="17" t="inlineStr">
        <is>
          <t>旅人:触屏按钮</t>
        </is>
      </c>
      <c r="F16" s="17" t="inlineStr">
        <is>
          <t>荒野:E道具、F采集;原神/星铁:F交互</t>
        </is>
      </c>
      <c r="G16" s="17" t="inlineStr">
        <is>
          <t>统一交互/采集/道具键位</t>
        </is>
      </c>
      <c r="H16" s="5" t="inlineStr">
        <is>
          <t>S3,S14,S15</t>
        </is>
      </c>
      <c r="I16" s="8" t="inlineStr">
        <is>
          <t>P0</t>
        </is>
      </c>
      <c r="J16" s="5" t="inlineStr">
        <is>
          <t>S</t>
        </is>
      </c>
      <c r="K16" s="95" t="n">
        <v>1</v>
      </c>
      <c r="L16" s="95" t="n">
        <v>0</v>
      </c>
      <c r="M16" s="95" t="n">
        <v>1</v>
      </c>
      <c r="N16" s="95" t="n">
        <v>0</v>
      </c>
      <c r="O16" s="95" t="n">
        <v>1</v>
      </c>
      <c r="P16" s="96">
        <f>SUM(K16:O16)</f>
        <v/>
      </c>
      <c r="Q16" s="5" t="inlineStr">
        <is>
          <t>待评审</t>
        </is>
      </c>
      <c r="R16" s="17" t="n"/>
    </row>
    <row r="17" ht="14.5" customHeight="1">
      <c r="A17" s="5" t="inlineStr">
        <is>
          <t>1.2.9</t>
        </is>
      </c>
      <c r="B17" s="17" t="inlineStr">
        <is>
          <t>1-输入与操控</t>
        </is>
      </c>
      <c r="C17" s="17" t="inlineStr">
        <is>
          <t>1.2 默认键位映射</t>
        </is>
      </c>
      <c r="D17" s="17" t="inlineStr">
        <is>
          <t>走/跑切换</t>
        </is>
      </c>
      <c r="E17" s="17" t="inlineStr">
        <is>
          <t>触屏摇杆推幅=走/跑</t>
        </is>
      </c>
      <c r="F17" s="17" t="inlineStr">
        <is>
          <t>原神:Ctrl切换走/跑</t>
        </is>
      </c>
      <c r="G17" s="17" t="inlineStr">
        <is>
          <t>键盘无模拟量,需走跑切换键</t>
        </is>
      </c>
      <c r="H17" s="5" t="inlineStr">
        <is>
          <t>S14</t>
        </is>
      </c>
      <c r="I17" s="9" t="inlineStr">
        <is>
          <t>P1</t>
        </is>
      </c>
      <c r="J17" s="5" t="inlineStr">
        <is>
          <t>S</t>
        </is>
      </c>
      <c r="K17" s="95" t="n">
        <v>1</v>
      </c>
      <c r="L17" s="95" t="n">
        <v>0</v>
      </c>
      <c r="M17" s="95" t="n">
        <v>2</v>
      </c>
      <c r="N17" s="95" t="n">
        <v>0</v>
      </c>
      <c r="O17" s="95" t="n">
        <v>1</v>
      </c>
      <c r="P17" s="96">
        <f>SUM(K17:O17)</f>
        <v/>
      </c>
      <c r="Q17" s="5" t="inlineStr">
        <is>
          <t>待评审</t>
        </is>
      </c>
      <c r="R17" s="17" t="n"/>
    </row>
    <row r="18" ht="29" customHeight="1">
      <c r="A18" s="5" t="inlineStr">
        <is>
          <t>1.2.10</t>
        </is>
      </c>
      <c r="B18" s="17" t="inlineStr">
        <is>
          <t>1-输入与操控</t>
        </is>
      </c>
      <c r="C18" s="17" t="inlineStr">
        <is>
          <t>1.2 默认键位映射</t>
        </is>
      </c>
      <c r="D18" s="17" t="inlineStr">
        <is>
          <t>武器/角色专属键位方案</t>
        </is>
      </c>
      <c r="E18" s="17" t="inlineStr">
        <is>
          <t>旅人:技能键随武器变化</t>
        </is>
      </c>
      <c r="F18" s="17" t="inlineStr">
        <is>
          <t>荒野:14武器按键语义重排(远程R2=射击、△=装填)</t>
        </is>
      </c>
      <c r="G18" s="17" t="inlineStr">
        <is>
          <t>每把武器输出键鼠+手柄方案</t>
        </is>
      </c>
      <c r="H18" s="5" t="inlineStr">
        <is>
          <t>S3,S1</t>
        </is>
      </c>
      <c r="I18" s="8" t="inlineStr">
        <is>
          <t>P0</t>
        </is>
      </c>
      <c r="J18" s="5" t="inlineStr">
        <is>
          <t>L</t>
        </is>
      </c>
      <c r="K18" s="95">
        <f>假设参数!$B$10*假设参数!$B$11</f>
        <v/>
      </c>
      <c r="L18" s="95" t="n">
        <v>0</v>
      </c>
      <c r="M18" s="95" t="n">
        <v>3</v>
      </c>
      <c r="N18" s="95" t="n">
        <v>0</v>
      </c>
      <c r="O18" s="95">
        <f>假设参数!$B$10*0.5</f>
        <v/>
      </c>
      <c r="P18" s="96">
        <f>SUM(K18:O18)</f>
        <v/>
      </c>
      <c r="Q18" s="5" t="inlineStr">
        <is>
          <t>待评审</t>
        </is>
      </c>
      <c r="R18" s="17" t="inlineStr">
        <is>
          <t>随武器数线性增长</t>
        </is>
      </c>
    </row>
    <row r="19" ht="29" customHeight="1">
      <c r="A19" s="5" t="inlineStr">
        <is>
          <t>1.3.1</t>
        </is>
      </c>
      <c r="B19" s="17" t="inlineStr">
        <is>
          <t>1-输入与操控</t>
        </is>
      </c>
      <c r="C19" s="17" t="inlineStr">
        <is>
          <t>1.3 键鼠交互差异</t>
        </is>
      </c>
      <c r="D19" s="17" t="inlineStr">
        <is>
          <t>ESC返回栈</t>
        </is>
      </c>
      <c r="E19" s="17" t="inlineStr">
        <is>
          <t>触屏返回按钮</t>
        </is>
      </c>
      <c r="F19" s="17" t="inlineStr">
        <is>
          <t>荒野:Esc/H开始菜单、层层返回;星铁:ESC手机菜单</t>
        </is>
      </c>
      <c r="G19" s="17" t="inlineStr">
        <is>
          <t>关弹窗→关界面→呼出系统菜单,逐级回退</t>
        </is>
      </c>
      <c r="H19" s="5" t="inlineStr">
        <is>
          <t>S3,S15</t>
        </is>
      </c>
      <c r="I19" s="8" t="inlineStr">
        <is>
          <t>P0</t>
        </is>
      </c>
      <c r="J19" s="5" t="inlineStr">
        <is>
          <t>M</t>
        </is>
      </c>
      <c r="K19" s="95" t="n">
        <v>2</v>
      </c>
      <c r="L19" s="95" t="n">
        <v>0</v>
      </c>
      <c r="M19" s="95" t="n">
        <v>5</v>
      </c>
      <c r="N19" s="95" t="n">
        <v>0</v>
      </c>
      <c r="O19" s="95" t="n">
        <v>3</v>
      </c>
      <c r="P19" s="96">
        <f>SUM(K19:O19)</f>
        <v/>
      </c>
      <c r="Q19" s="5" t="inlineStr">
        <is>
          <t>待评审</t>
        </is>
      </c>
      <c r="R19" s="17" t="n"/>
    </row>
    <row r="20" ht="29" customHeight="1">
      <c r="A20" s="5" t="inlineStr">
        <is>
          <t>1.3.2</t>
        </is>
      </c>
      <c r="B20" s="17" t="inlineStr">
        <is>
          <t>1-输入与操控</t>
        </is>
      </c>
      <c r="C20" s="17" t="inlineStr">
        <is>
          <t>1.3 键鼠交互差异</t>
        </is>
      </c>
      <c r="D20" s="17" t="inlineStr">
        <is>
          <t>鼠标右键语义</t>
        </is>
      </c>
      <c r="E20" s="17" t="inlineStr">
        <is>
          <t>-</t>
        </is>
      </c>
      <c r="F20" s="17" t="inlineStr">
        <is>
          <t>荒野:右键=特殊攻击;鸣潮:右键=瞄准;星铁:右键=加速</t>
        </is>
      </c>
      <c r="G20" s="17" t="inlineStr">
        <is>
          <t>右键在战斗/菜单两种场景的分工</t>
        </is>
      </c>
      <c r="H20" s="5" t="inlineStr">
        <is>
          <t>S3,S6,S15</t>
        </is>
      </c>
      <c r="I20" s="8" t="inlineStr">
        <is>
          <t>P0</t>
        </is>
      </c>
      <c r="J20" s="5" t="inlineStr">
        <is>
          <t>S</t>
        </is>
      </c>
      <c r="K20" s="95" t="n">
        <v>1</v>
      </c>
      <c r="L20" s="95" t="n">
        <v>0</v>
      </c>
      <c r="M20" s="95" t="n">
        <v>2</v>
      </c>
      <c r="N20" s="95" t="n">
        <v>0</v>
      </c>
      <c r="O20" s="95" t="n">
        <v>1</v>
      </c>
      <c r="P20" s="96">
        <f>SUM(K20:O20)</f>
        <v/>
      </c>
      <c r="Q20" s="5" t="inlineStr">
        <is>
          <t>待评审</t>
        </is>
      </c>
      <c r="R20" s="17" t="n"/>
    </row>
    <row r="21" ht="29" customHeight="1">
      <c r="A21" s="5" t="inlineStr">
        <is>
          <t>1.3.3</t>
        </is>
      </c>
      <c r="B21" s="17" t="inlineStr">
        <is>
          <t>1-输入与操控</t>
        </is>
      </c>
      <c r="C21" s="17" t="inlineStr">
        <is>
          <t>1.3 键鼠交互差异</t>
        </is>
      </c>
      <c r="D21" s="17" t="inlineStr">
        <is>
          <t>滚轮语义</t>
        </is>
      </c>
      <c r="E21" s="17" t="inlineStr">
        <is>
          <t>-</t>
        </is>
      </c>
      <c r="F21" s="17" t="inlineStr">
        <is>
          <t>荒野:道具切换/地图缩放;鸣潮/星铁:视角远近</t>
        </is>
      </c>
      <c r="G21" s="17" t="inlineStr">
        <is>
          <t>滚轮复用规则与冲突规避</t>
        </is>
      </c>
      <c r="H21" s="5" t="inlineStr">
        <is>
          <t>S3,S6,S15</t>
        </is>
      </c>
      <c r="I21" s="9" t="inlineStr">
        <is>
          <t>P1</t>
        </is>
      </c>
      <c r="J21" s="5" t="inlineStr">
        <is>
          <t>S</t>
        </is>
      </c>
      <c r="K21" s="95" t="n">
        <v>1</v>
      </c>
      <c r="L21" s="95" t="n">
        <v>0</v>
      </c>
      <c r="M21" s="95" t="n">
        <v>2</v>
      </c>
      <c r="N21" s="95" t="n">
        <v>0</v>
      </c>
      <c r="O21" s="95" t="n">
        <v>1</v>
      </c>
      <c r="P21" s="96">
        <f>SUM(K21:O21)</f>
        <v/>
      </c>
      <c r="Q21" s="5" t="inlineStr">
        <is>
          <t>待评审</t>
        </is>
      </c>
      <c r="R21" s="17" t="n"/>
    </row>
    <row r="22" ht="29" customHeight="1">
      <c r="A22" s="5" t="inlineStr">
        <is>
          <t>1.3.4</t>
        </is>
      </c>
      <c r="B22" s="17" t="inlineStr">
        <is>
          <t>1-输入与操控</t>
        </is>
      </c>
      <c r="C22" s="17" t="inlineStr">
        <is>
          <t>1.3 键鼠交互差异</t>
        </is>
      </c>
      <c r="D22" s="17" t="inlineStr">
        <is>
          <t>长按 vs 点按</t>
        </is>
      </c>
      <c r="E22" s="17" t="inlineStr">
        <is>
          <t>触屏长按</t>
        </is>
      </c>
      <c r="F22" s="17" t="inlineStr">
        <is>
          <t>鸣潮:重击=长按普攻;荒野:集中模式按一次/长按</t>
        </is>
      </c>
      <c r="G22" s="17" t="inlineStr">
        <is>
          <t>长按类操作的键鼠等价与判定阈值</t>
        </is>
      </c>
      <c r="H22" s="5" t="inlineStr">
        <is>
          <t>S6,S3</t>
        </is>
      </c>
      <c r="I22" s="8" t="inlineStr">
        <is>
          <t>P0</t>
        </is>
      </c>
      <c r="J22" s="5" t="inlineStr">
        <is>
          <t>M</t>
        </is>
      </c>
      <c r="K22" s="95" t="n">
        <v>1</v>
      </c>
      <c r="L22" s="95" t="n">
        <v>0</v>
      </c>
      <c r="M22" s="95" t="n">
        <v>3</v>
      </c>
      <c r="N22" s="95" t="n">
        <v>0</v>
      </c>
      <c r="O22" s="95" t="n">
        <v>2</v>
      </c>
      <c r="P22" s="96">
        <f>SUM(K22:O22)</f>
        <v/>
      </c>
      <c r="Q22" s="5" t="inlineStr">
        <is>
          <t>待评审</t>
        </is>
      </c>
      <c r="R22" s="17" t="n"/>
    </row>
    <row r="23" ht="14.5" customHeight="1">
      <c r="A23" s="5" t="inlineStr">
        <is>
          <t>1.3.5</t>
        </is>
      </c>
      <c r="B23" s="17" t="inlineStr">
        <is>
          <t>1-输入与操控</t>
        </is>
      </c>
      <c r="C23" s="17" t="inlineStr">
        <is>
          <t>1.3 键鼠交互差异</t>
        </is>
      </c>
      <c r="D23" s="17" t="inlineStr">
        <is>
          <t>组合键表达</t>
        </is>
      </c>
      <c r="E23" s="17" t="inlineStr">
        <is>
          <t>-</t>
        </is>
      </c>
      <c r="F23" s="17" t="inlineStr">
        <is>
          <t>荒野:△+○=鼠标侧键1</t>
        </is>
      </c>
      <c r="G23" s="17" t="inlineStr">
        <is>
          <t>组合动作的组合键/侧键映射</t>
        </is>
      </c>
      <c r="H23" s="5" t="inlineStr">
        <is>
          <t>S3</t>
        </is>
      </c>
      <c r="I23" s="9" t="inlineStr">
        <is>
          <t>P1</t>
        </is>
      </c>
      <c r="J23" s="5" t="inlineStr">
        <is>
          <t>M</t>
        </is>
      </c>
      <c r="K23" s="95" t="n">
        <v>2</v>
      </c>
      <c r="L23" s="95" t="n">
        <v>0</v>
      </c>
      <c r="M23" s="95" t="n">
        <v>3</v>
      </c>
      <c r="N23" s="95" t="n">
        <v>0</v>
      </c>
      <c r="O23" s="95" t="n">
        <v>2</v>
      </c>
      <c r="P23" s="96">
        <f>SUM(K23:O23)</f>
        <v/>
      </c>
      <c r="Q23" s="5" t="inlineStr">
        <is>
          <t>待评审</t>
        </is>
      </c>
      <c r="R23" s="17" t="n"/>
    </row>
    <row r="24" ht="14.5" customHeight="1">
      <c r="A24" s="5" t="inlineStr">
        <is>
          <t>1.3.6</t>
        </is>
      </c>
      <c r="B24" s="17" t="inlineStr">
        <is>
          <t>1-输入与操控</t>
        </is>
      </c>
      <c r="C24" s="17" t="inlineStr">
        <is>
          <t>1.3 键鼠交互差异</t>
        </is>
      </c>
      <c r="D24" s="17" t="inlineStr">
        <is>
          <t>快捷栏/数字键</t>
        </is>
      </c>
      <c r="E24" s="17" t="inlineStr">
        <is>
          <t>触屏快捷轮盘</t>
        </is>
      </c>
      <c r="F24" s="17" t="inlineStr">
        <is>
          <t>荒野:F1~F8快捷盘、1~0/-/=栏位</t>
        </is>
      </c>
      <c r="G24" s="17" t="inlineStr">
        <is>
          <t>道具/建造/技能快捷栏的数字键体系</t>
        </is>
      </c>
      <c r="H24" s="5" t="inlineStr">
        <is>
          <t>S3</t>
        </is>
      </c>
      <c r="I24" s="9" t="inlineStr">
        <is>
          <t>P1</t>
        </is>
      </c>
      <c r="J24" s="5" t="inlineStr">
        <is>
          <t>M</t>
        </is>
      </c>
      <c r="K24" s="95" t="n">
        <v>2</v>
      </c>
      <c r="L24" s="95" t="n">
        <v>3</v>
      </c>
      <c r="M24" s="95" t="n">
        <v>4</v>
      </c>
      <c r="N24" s="95" t="n">
        <v>0</v>
      </c>
      <c r="O24" s="95" t="n">
        <v>2</v>
      </c>
      <c r="P24" s="96">
        <f>SUM(K24:O24)</f>
        <v/>
      </c>
      <c r="Q24" s="5" t="inlineStr">
        <is>
          <t>待评审</t>
        </is>
      </c>
      <c r="R24" s="17" t="n"/>
    </row>
    <row r="25" ht="29" customHeight="1">
      <c r="A25" s="5" t="inlineStr">
        <is>
          <t>1.3.7</t>
        </is>
      </c>
      <c r="B25" s="17" t="inlineStr">
        <is>
          <t>1-输入与操控</t>
        </is>
      </c>
      <c r="C25" s="17" t="inlineStr">
        <is>
          <t>1.3 键鼠交互差异</t>
        </is>
      </c>
      <c r="D25" s="17" t="inlineStr">
        <is>
          <t>界面内翻页/排序快捷键</t>
        </is>
      </c>
      <c r="E25" s="17" t="inlineStr">
        <is>
          <t>触屏点按</t>
        </is>
      </c>
      <c r="F25" s="17" t="inlineStr">
        <is>
          <t>荒野:Q/E翻页、G排序、X筛选、Tab切换显示</t>
        </is>
      </c>
      <c r="G25" s="17" t="inlineStr">
        <is>
          <t>统一全局界面快捷键规范</t>
        </is>
      </c>
      <c r="H25" s="5" t="inlineStr">
        <is>
          <t>S3</t>
        </is>
      </c>
      <c r="I25" s="9" t="inlineStr">
        <is>
          <t>P1</t>
        </is>
      </c>
      <c r="J25" s="5" t="inlineStr">
        <is>
          <t>S</t>
        </is>
      </c>
      <c r="K25" s="95" t="n">
        <v>1</v>
      </c>
      <c r="L25" s="95" t="n">
        <v>0</v>
      </c>
      <c r="M25" s="95" t="n">
        <v>2</v>
      </c>
      <c r="N25" s="95" t="n">
        <v>0</v>
      </c>
      <c r="O25" s="95" t="n">
        <v>1</v>
      </c>
      <c r="P25" s="96">
        <f>SUM(K25:O25)</f>
        <v/>
      </c>
      <c r="Q25" s="5" t="inlineStr">
        <is>
          <t>待评审</t>
        </is>
      </c>
      <c r="R25" s="17" t="n"/>
    </row>
    <row r="26" ht="29" customHeight="1">
      <c r="A26" s="5" t="inlineStr">
        <is>
          <t>1.3.8</t>
        </is>
      </c>
      <c r="B26" s="17" t="inlineStr">
        <is>
          <t>1-输入与操控</t>
        </is>
      </c>
      <c r="C26" s="17" t="inlineStr">
        <is>
          <t>1.3 键鼠交互差异</t>
        </is>
      </c>
      <c r="D26" s="17" t="inlineStr">
        <is>
          <t>聊天/社交快捷键</t>
        </is>
      </c>
      <c r="E26" s="17" t="inlineStr">
        <is>
          <t>触屏按钮</t>
        </is>
      </c>
      <c r="F26" s="17" t="inlineStr">
        <is>
          <t>荒野:Enter聊天、T语音、F9~F11贴图动作、L成员</t>
        </is>
      </c>
      <c r="G26" s="17" t="inlineStr">
        <is>
          <t>社交类快捷键</t>
        </is>
      </c>
      <c r="H26" s="5" t="inlineStr">
        <is>
          <t>S3</t>
        </is>
      </c>
      <c r="I26" s="9" t="inlineStr">
        <is>
          <t>P1</t>
        </is>
      </c>
      <c r="J26" s="5" t="inlineStr">
        <is>
          <t>S</t>
        </is>
      </c>
      <c r="K26" s="95" t="n">
        <v>1</v>
      </c>
      <c r="L26" s="95" t="n">
        <v>0</v>
      </c>
      <c r="M26" s="95" t="n">
        <v>2</v>
      </c>
      <c r="N26" s="95" t="n">
        <v>0</v>
      </c>
      <c r="O26" s="95" t="n">
        <v>1</v>
      </c>
      <c r="P26" s="96">
        <f>SUM(K26:O26)</f>
        <v/>
      </c>
      <c r="Q26" s="5" t="inlineStr">
        <is>
          <t>待评审</t>
        </is>
      </c>
      <c r="R26" s="17" t="n"/>
    </row>
    <row r="27" ht="29" customHeight="1">
      <c r="A27" s="5" t="inlineStr">
        <is>
          <t>1.3.9</t>
        </is>
      </c>
      <c r="B27" s="17" t="inlineStr">
        <is>
          <t>1-输入与操控</t>
        </is>
      </c>
      <c r="C27" s="17" t="inlineStr">
        <is>
          <t>1.3 键鼠交互差异</t>
        </is>
      </c>
      <c r="D27" s="17" t="inlineStr">
        <is>
          <t>鼠标光标模式(锁定/释放)</t>
        </is>
      </c>
      <c r="E27" s="17" t="inlineStr">
        <is>
          <t>触屏无光标</t>
        </is>
      </c>
      <c r="F27" s="17" t="inlineStr">
        <is>
          <t>原神/星铁:探索战斗锁定光标控视角,按住左Alt临时唤出鼠标点UI</t>
        </is>
      </c>
      <c r="G27" s="17" t="inlineStr">
        <is>
          <t>光标锁定/释放规则、Alt唤出、开界面自动释放</t>
        </is>
      </c>
      <c r="H27" s="5" t="inlineStr">
        <is>
          <t>S13,S15</t>
        </is>
      </c>
      <c r="I27" s="8" t="inlineStr">
        <is>
          <t>P0</t>
        </is>
      </c>
      <c r="J27" s="5" t="inlineStr">
        <is>
          <t>M</t>
        </is>
      </c>
      <c r="K27" s="95" t="n">
        <v>2</v>
      </c>
      <c r="L27" s="95" t="n">
        <v>0</v>
      </c>
      <c r="M27" s="95" t="n">
        <v>4</v>
      </c>
      <c r="N27" s="95" t="n">
        <v>0</v>
      </c>
      <c r="O27" s="95" t="n">
        <v>2</v>
      </c>
      <c r="P27" s="96">
        <f>SUM(K27:O27)</f>
        <v/>
      </c>
      <c r="Q27" s="5" t="inlineStr">
        <is>
          <t>待评审</t>
        </is>
      </c>
      <c r="R27" s="17" t="inlineStr">
        <is>
          <t>之前清单遗漏的关键项</t>
        </is>
      </c>
    </row>
    <row r="28" ht="29" customHeight="1">
      <c r="A28" s="5" t="inlineStr">
        <is>
          <t>1.3.10</t>
        </is>
      </c>
      <c r="B28" s="17" t="inlineStr">
        <is>
          <t>1-输入与操控</t>
        </is>
      </c>
      <c r="C28" s="17" t="inlineStr">
        <is>
          <t>1.3 键鼠交互差异</t>
        </is>
      </c>
      <c r="D28" s="17" t="inlineStr">
        <is>
          <t>系统入口快捷键</t>
        </is>
      </c>
      <c r="E28" s="17" t="inlineStr">
        <is>
          <t>触屏主界面按钮</t>
        </is>
      </c>
      <c r="F28" s="17" t="inlineStr">
        <is>
          <t>星铁:C角色/B背包/M地图/J任务/F1~F5活动纪行跃迁指南商店</t>
        </is>
      </c>
      <c r="G28" s="17" t="inlineStr">
        <is>
          <t>各系统入口分配字母/F键</t>
        </is>
      </c>
      <c r="H28" s="5" t="inlineStr">
        <is>
          <t>S15,S14</t>
        </is>
      </c>
      <c r="I28" s="9" t="inlineStr">
        <is>
          <t>P1</t>
        </is>
      </c>
      <c r="J28" s="5" t="inlineStr">
        <is>
          <t>S</t>
        </is>
      </c>
      <c r="K28" s="95" t="n">
        <v>2</v>
      </c>
      <c r="L28" s="95" t="n">
        <v>0</v>
      </c>
      <c r="M28" s="95" t="n">
        <v>2</v>
      </c>
      <c r="N28" s="95" t="n">
        <v>0</v>
      </c>
      <c r="O28" s="95" t="n">
        <v>1</v>
      </c>
      <c r="P28" s="96">
        <f>SUM(K28:O28)</f>
        <v/>
      </c>
      <c r="Q28" s="5" t="inlineStr">
        <is>
          <t>待评审</t>
        </is>
      </c>
      <c r="R28" s="17" t="n"/>
    </row>
    <row r="29" ht="29" customHeight="1">
      <c r="A29" s="5" t="inlineStr">
        <is>
          <t>1.3.11</t>
        </is>
      </c>
      <c r="B29" s="17" t="inlineStr">
        <is>
          <t>1-输入与操控</t>
        </is>
      </c>
      <c r="C29" s="17" t="inlineStr">
        <is>
          <t>1.3 键鼠交互差异</t>
        </is>
      </c>
      <c r="D29" s="17" t="inlineStr">
        <is>
          <t>系统键冲突(Win/Alt+Tab/输入法)</t>
        </is>
      </c>
      <c r="E29" s="17" t="inlineStr">
        <is>
          <t>无</t>
        </is>
      </c>
      <c r="F29" s="17" t="inlineStr">
        <is>
          <t>Windows:Shift/Ctrl+Shift默认触发输入法切换;Win弹开始菜单</t>
        </is>
      </c>
      <c r="G29" s="17" t="inlineStr">
        <is>
          <t>游戏内禁用IME、可选屏蔽Win键、Alt+Tab失焦处理</t>
        </is>
      </c>
      <c r="H29" s="5" t="inlineStr">
        <is>
          <t>S19</t>
        </is>
      </c>
      <c r="I29" s="8" t="inlineStr">
        <is>
          <t>P0</t>
        </is>
      </c>
      <c r="J29" s="5" t="inlineStr">
        <is>
          <t>M</t>
        </is>
      </c>
      <c r="K29" s="95" t="n">
        <v>1</v>
      </c>
      <c r="L29" s="95" t="n">
        <v>0</v>
      </c>
      <c r="M29" s="95" t="n">
        <v>4</v>
      </c>
      <c r="N29" s="95" t="n">
        <v>0</v>
      </c>
      <c r="O29" s="95" t="n">
        <v>3</v>
      </c>
      <c r="P29" s="96">
        <f>SUM(K29:O29)</f>
        <v/>
      </c>
      <c r="Q29" s="5" t="inlineStr">
        <is>
          <t>待评审</t>
        </is>
      </c>
      <c r="R29" s="17" t="inlineStr">
        <is>
          <t>Shift作冲刺时必踩坑</t>
        </is>
      </c>
    </row>
    <row r="30" ht="29" customHeight="1">
      <c r="A30" s="5" t="inlineStr">
        <is>
          <t>1.3.12</t>
        </is>
      </c>
      <c r="B30" s="17" t="inlineStr">
        <is>
          <t>1-输入与操控</t>
        </is>
      </c>
      <c r="C30" s="17" t="inlineStr">
        <is>
          <t>1.3 键鼠交互差异</t>
        </is>
      </c>
      <c r="D30" s="17" t="inlineStr">
        <is>
          <t>鼠标原始输入与灵敏度曲线</t>
        </is>
      </c>
      <c r="E30" s="17" t="inlineStr">
        <is>
          <t>触屏滑动</t>
        </is>
      </c>
      <c r="F30" s="17" t="inlineStr">
        <is>
          <t>荒野/鸣潮:镜头灵敏度可调</t>
        </is>
      </c>
      <c r="G30" s="17" t="inlineStr">
        <is>
          <t>Raw Input、关闭系统加速、X/Y分轴灵敏度</t>
        </is>
      </c>
      <c r="H30" s="5" t="inlineStr">
        <is>
          <t>S6,EXP</t>
        </is>
      </c>
      <c r="I30" s="9" t="inlineStr">
        <is>
          <t>P1</t>
        </is>
      </c>
      <c r="J30" s="5" t="inlineStr">
        <is>
          <t>M</t>
        </is>
      </c>
      <c r="K30" s="95" t="n">
        <v>1</v>
      </c>
      <c r="L30" s="95" t="n">
        <v>0</v>
      </c>
      <c r="M30" s="95" t="n">
        <v>4</v>
      </c>
      <c r="N30" s="95" t="n">
        <v>0</v>
      </c>
      <c r="O30" s="95" t="n">
        <v>2</v>
      </c>
      <c r="P30" s="96">
        <f>SUM(K30:O30)</f>
        <v/>
      </c>
      <c r="Q30" s="5" t="inlineStr">
        <is>
          <t>待评审</t>
        </is>
      </c>
      <c r="R30" s="17" t="n"/>
    </row>
    <row r="31" ht="29" customHeight="1">
      <c r="A31" s="5" t="inlineStr">
        <is>
          <t>1.4.1</t>
        </is>
      </c>
      <c r="B31" s="17" t="inlineStr">
        <is>
          <t>1-输入与操控</t>
        </is>
      </c>
      <c r="C31" s="17" t="inlineStr">
        <is>
          <t>1.4 触屏手势→键鼠</t>
        </is>
      </c>
      <c r="D31" s="17" t="inlineStr">
        <is>
          <t>点按</t>
        </is>
      </c>
      <c r="E31" s="17" t="inlineStr">
        <is>
          <t>触屏点按</t>
        </is>
      </c>
      <c r="F31" s="17" t="inlineStr">
        <is>
          <t>左键/面键</t>
        </is>
      </c>
      <c r="G31" s="17" t="inlineStr">
        <is>
          <t>依赖1.1.6抽象层</t>
        </is>
      </c>
      <c r="H31" s="5" t="inlineStr">
        <is>
          <t>EXP</t>
        </is>
      </c>
      <c r="I31" s="8" t="inlineStr">
        <is>
          <t>P0</t>
        </is>
      </c>
      <c r="J31" s="5" t="inlineStr">
        <is>
          <t>S</t>
        </is>
      </c>
      <c r="K31" s="95" t="n">
        <v>0.5</v>
      </c>
      <c r="L31" s="95" t="n">
        <v>0</v>
      </c>
      <c r="M31" s="95" t="n">
        <v>0.5</v>
      </c>
      <c r="N31" s="95" t="n">
        <v>0</v>
      </c>
      <c r="O31" s="95" t="n">
        <v>0.5</v>
      </c>
      <c r="P31" s="96">
        <f>SUM(K31:O31)</f>
        <v/>
      </c>
      <c r="Q31" s="5" t="inlineStr">
        <is>
          <t>待评审</t>
        </is>
      </c>
      <c r="R31" s="17" t="n"/>
    </row>
    <row r="32" ht="29" customHeight="1">
      <c r="A32" s="5" t="inlineStr">
        <is>
          <t>1.4.2</t>
        </is>
      </c>
      <c r="B32" s="17" t="inlineStr">
        <is>
          <t>1-输入与操控</t>
        </is>
      </c>
      <c r="C32" s="17" t="inlineStr">
        <is>
          <t>1.4 触屏手势→键鼠</t>
        </is>
      </c>
      <c r="D32" s="17" t="inlineStr">
        <is>
          <t>长按</t>
        </is>
      </c>
      <c r="E32" s="17" t="inlineStr">
        <is>
          <t>触屏长按</t>
        </is>
      </c>
      <c r="F32" s="17" t="inlineStr">
        <is>
          <t>荒野:长按=侧键2</t>
        </is>
      </c>
      <c r="G32" s="17" t="inlineStr">
        <is>
          <t>长按左键或独立键,可重映射</t>
        </is>
      </c>
      <c r="H32" s="5" t="inlineStr">
        <is>
          <t>S3</t>
        </is>
      </c>
      <c r="I32" s="8" t="inlineStr">
        <is>
          <t>P0</t>
        </is>
      </c>
      <c r="J32" s="5" t="inlineStr">
        <is>
          <t>S</t>
        </is>
      </c>
      <c r="K32" s="95" t="n">
        <v>0.5</v>
      </c>
      <c r="L32" s="95" t="n">
        <v>0</v>
      </c>
      <c r="M32" s="95" t="n">
        <v>1</v>
      </c>
      <c r="N32" s="95" t="n">
        <v>0</v>
      </c>
      <c r="O32" s="95" t="n">
        <v>0.5</v>
      </c>
      <c r="P32" s="96">
        <f>SUM(K32:O32)</f>
        <v/>
      </c>
      <c r="Q32" s="5" t="inlineStr">
        <is>
          <t>待评审</t>
        </is>
      </c>
      <c r="R32" s="17" t="n"/>
    </row>
    <row r="33" ht="29" customHeight="1">
      <c r="A33" s="5" t="inlineStr">
        <is>
          <t>1.4.3</t>
        </is>
      </c>
      <c r="B33" s="17" t="inlineStr">
        <is>
          <t>1-输入与操控</t>
        </is>
      </c>
      <c r="C33" s="17" t="inlineStr">
        <is>
          <t>1.4 触屏手势→键鼠</t>
        </is>
      </c>
      <c r="D33" s="17" t="inlineStr">
        <is>
          <t>滑屏转视角</t>
        </is>
      </c>
      <c r="E33" s="17" t="inlineStr">
        <is>
          <t>触屏滑动</t>
        </is>
      </c>
      <c r="F33" s="17" t="inlineStr">
        <is>
          <t>鼠标移动/右摇杆</t>
        </is>
      </c>
      <c r="G33" s="17" t="inlineStr">
        <is>
          <t>滑屏→鼠标/摇杆的灵敏度换算</t>
        </is>
      </c>
      <c r="H33" s="5" t="inlineStr">
        <is>
          <t>S6</t>
        </is>
      </c>
      <c r="I33" s="8" t="inlineStr">
        <is>
          <t>P0</t>
        </is>
      </c>
      <c r="J33" s="5" t="inlineStr">
        <is>
          <t>M</t>
        </is>
      </c>
      <c r="K33" s="95" t="n">
        <v>1</v>
      </c>
      <c r="L33" s="95" t="n">
        <v>0</v>
      </c>
      <c r="M33" s="95" t="n">
        <v>3</v>
      </c>
      <c r="N33" s="95" t="n">
        <v>0</v>
      </c>
      <c r="O33" s="95" t="n">
        <v>1</v>
      </c>
      <c r="P33" s="96">
        <f>SUM(K33:O33)</f>
        <v/>
      </c>
      <c r="Q33" s="5" t="inlineStr">
        <is>
          <t>待评审</t>
        </is>
      </c>
      <c r="R33" s="17" t="n"/>
    </row>
    <row r="34" ht="29" customHeight="1">
      <c r="A34" s="5" t="inlineStr">
        <is>
          <t>1.4.4</t>
        </is>
      </c>
      <c r="B34" s="17" t="inlineStr">
        <is>
          <t>1-输入与操控</t>
        </is>
      </c>
      <c r="C34" s="17" t="inlineStr">
        <is>
          <t>1.4 触屏手势→键鼠</t>
        </is>
      </c>
      <c r="D34" s="17" t="inlineStr">
        <is>
          <t>多点触控</t>
        </is>
      </c>
      <c r="E34" s="17" t="inlineStr">
        <is>
          <t>多指同时操作</t>
        </is>
      </c>
      <c r="F34" s="17" t="inlineStr">
        <is>
          <t>键鼠多指协同</t>
        </is>
      </c>
      <c r="G34" s="17" t="inlineStr">
        <is>
          <t>多键同按的输入缓冲</t>
        </is>
      </c>
      <c r="H34" s="5" t="inlineStr">
        <is>
          <t>S7</t>
        </is>
      </c>
      <c r="I34" s="9" t="inlineStr">
        <is>
          <t>P1</t>
        </is>
      </c>
      <c r="J34" s="5" t="inlineStr">
        <is>
          <t>S</t>
        </is>
      </c>
      <c r="K34" s="95" t="n">
        <v>0.5</v>
      </c>
      <c r="L34" s="95" t="n">
        <v>0</v>
      </c>
      <c r="M34" s="95" t="n">
        <v>1</v>
      </c>
      <c r="N34" s="95" t="n">
        <v>0</v>
      </c>
      <c r="O34" s="95" t="n">
        <v>1</v>
      </c>
      <c r="P34" s="96">
        <f>SUM(K34:O34)</f>
        <v/>
      </c>
      <c r="Q34" s="5" t="inlineStr">
        <is>
          <t>待评审</t>
        </is>
      </c>
      <c r="R34" s="17" t="n"/>
    </row>
    <row r="35" ht="29" customHeight="1">
      <c r="A35" s="5" t="inlineStr">
        <is>
          <t>1.4.5</t>
        </is>
      </c>
      <c r="B35" s="17" t="inlineStr">
        <is>
          <t>1-输入与操控</t>
        </is>
      </c>
      <c r="C35" s="17" t="inlineStr">
        <is>
          <t>1.4 触屏手势→键鼠</t>
        </is>
      </c>
      <c r="D35" s="17" t="inlineStr">
        <is>
          <t>双指缩放/旋转</t>
        </is>
      </c>
      <c r="E35" s="17" t="inlineStr">
        <is>
          <t>双指手势</t>
        </is>
      </c>
      <c r="F35" s="17" t="inlineStr">
        <is>
          <t>荒野:滚轮缩放、1/3旋转模型</t>
        </is>
      </c>
      <c r="G35" s="17" t="inlineStr">
        <is>
          <t>滚轮缩放+拖拽旋转</t>
        </is>
      </c>
      <c r="H35" s="5" t="inlineStr">
        <is>
          <t>S3</t>
        </is>
      </c>
      <c r="I35" s="9" t="inlineStr">
        <is>
          <t>P1</t>
        </is>
      </c>
      <c r="J35" s="5" t="inlineStr">
        <is>
          <t>S</t>
        </is>
      </c>
      <c r="K35" s="95" t="n">
        <v>0.5</v>
      </c>
      <c r="L35" s="95" t="n">
        <v>0</v>
      </c>
      <c r="M35" s="95" t="n">
        <v>2</v>
      </c>
      <c r="N35" s="95" t="n">
        <v>0</v>
      </c>
      <c r="O35" s="95" t="n">
        <v>1</v>
      </c>
      <c r="P35" s="96">
        <f>SUM(K35:O35)</f>
        <v/>
      </c>
      <c r="Q35" s="5" t="inlineStr">
        <is>
          <t>待评审</t>
        </is>
      </c>
      <c r="R35" s="17" t="n"/>
    </row>
    <row r="36" ht="29" customHeight="1">
      <c r="A36" s="5" t="inlineStr">
        <is>
          <t>1.4.6</t>
        </is>
      </c>
      <c r="B36" s="17" t="inlineStr">
        <is>
          <t>1-输入与操控</t>
        </is>
      </c>
      <c r="C36" s="17" t="inlineStr">
        <is>
          <t>1.4 触屏手势→键鼠</t>
        </is>
      </c>
      <c r="D36" s="17" t="inlineStr">
        <is>
          <t>虚拟摇杆幅度</t>
        </is>
      </c>
      <c r="E36" s="17" t="inlineStr">
        <is>
          <t>轻推走/推满跑</t>
        </is>
      </c>
      <c r="F36" s="17" t="inlineStr">
        <is>
          <t>WASD开关式</t>
        </is>
      </c>
      <c r="G36" s="17" t="inlineStr">
        <is>
          <t>WASD+走跑切换,手柄摇杆模拟量</t>
        </is>
      </c>
      <c r="H36" s="5" t="inlineStr">
        <is>
          <t>EXP</t>
        </is>
      </c>
      <c r="I36" s="8" t="inlineStr">
        <is>
          <t>P0</t>
        </is>
      </c>
      <c r="J36" s="5" t="inlineStr">
        <is>
          <t>S</t>
        </is>
      </c>
      <c r="K36" s="95" t="n">
        <v>0.5</v>
      </c>
      <c r="L36" s="95" t="n">
        <v>0</v>
      </c>
      <c r="M36" s="95" t="n">
        <v>1</v>
      </c>
      <c r="N36" s="95" t="n">
        <v>0</v>
      </c>
      <c r="O36" s="95" t="n">
        <v>0.5</v>
      </c>
      <c r="P36" s="96">
        <f>SUM(K36:O36)</f>
        <v/>
      </c>
      <c r="Q36" s="5" t="inlineStr">
        <is>
          <t>待评审</t>
        </is>
      </c>
      <c r="R36" s="17" t="n"/>
    </row>
    <row r="37" ht="14.5" customHeight="1">
      <c r="A37" s="5" t="inlineStr">
        <is>
          <t>1.5.1</t>
        </is>
      </c>
      <c r="B37" s="17" t="inlineStr">
        <is>
          <t>1-输入与操控</t>
        </is>
      </c>
      <c r="C37" s="17" t="inlineStr">
        <is>
          <t>1.5 重映射与辅助</t>
        </is>
      </c>
      <c r="D37" s="17" t="inlineStr">
        <is>
          <t>键位自定义界面</t>
        </is>
      </c>
      <c r="E37" s="17" t="inlineStr">
        <is>
          <t>触屏布局自定义</t>
        </is>
      </c>
      <c r="F37" s="17" t="inlineStr">
        <is>
          <t>荒野/鸣潮/崛起PC:内置改键</t>
        </is>
      </c>
      <c r="G37" s="17" t="inlineStr">
        <is>
          <t>键鼠+手柄完整改键界面</t>
        </is>
      </c>
      <c r="H37" s="5" t="inlineStr">
        <is>
          <t>S3,S6,S21</t>
        </is>
      </c>
      <c r="I37" s="8" t="inlineStr">
        <is>
          <t>P0</t>
        </is>
      </c>
      <c r="J37" s="5" t="inlineStr">
        <is>
          <t>L</t>
        </is>
      </c>
      <c r="K37" s="95" t="n">
        <v>3</v>
      </c>
      <c r="L37" s="95" t="n">
        <v>5</v>
      </c>
      <c r="M37" s="95" t="n">
        <v>10</v>
      </c>
      <c r="N37" s="95" t="n">
        <v>0</v>
      </c>
      <c r="O37" s="95" t="n">
        <v>4</v>
      </c>
      <c r="P37" s="96">
        <f>SUM(K37:O37)</f>
        <v/>
      </c>
      <c r="Q37" s="5" t="inlineStr">
        <is>
          <t>待评审</t>
        </is>
      </c>
      <c r="R37" s="17" t="n"/>
    </row>
    <row r="38" ht="14.5" customHeight="1">
      <c r="A38" s="5" t="inlineStr">
        <is>
          <t>1.5.2</t>
        </is>
      </c>
      <c r="B38" s="17" t="inlineStr">
        <is>
          <t>1-输入与操控</t>
        </is>
      </c>
      <c r="C38" s="17" t="inlineStr">
        <is>
          <t>1.5 重映射与辅助</t>
        </is>
      </c>
      <c r="D38" s="17" t="inlineStr">
        <is>
          <t>灵敏度/震动</t>
        </is>
      </c>
      <c r="E38" s="17" t="inlineStr">
        <is>
          <t>-</t>
        </is>
      </c>
      <c r="F38" s="17" t="inlineStr">
        <is>
          <t>鸣潮:镜头灵敏度、震动力度</t>
        </is>
      </c>
      <c r="G38" s="17" t="inlineStr">
        <is>
          <t>鼠标灵敏度、摇杆死区、震动强度</t>
        </is>
      </c>
      <c r="H38" s="5" t="inlineStr">
        <is>
          <t>S6</t>
        </is>
      </c>
      <c r="I38" s="9" t="inlineStr">
        <is>
          <t>P1</t>
        </is>
      </c>
      <c r="J38" s="5" t="inlineStr">
        <is>
          <t>S</t>
        </is>
      </c>
      <c r="K38" s="95" t="n">
        <v>1</v>
      </c>
      <c r="L38" s="95" t="n">
        <v>1</v>
      </c>
      <c r="M38" s="95" t="n">
        <v>2</v>
      </c>
      <c r="N38" s="95" t="n">
        <v>0</v>
      </c>
      <c r="O38" s="95" t="n">
        <v>1</v>
      </c>
      <c r="P38" s="96">
        <f>SUM(K38:O38)</f>
        <v/>
      </c>
      <c r="Q38" s="5" t="inlineStr">
        <is>
          <t>待评审</t>
        </is>
      </c>
      <c r="R38" s="17" t="n"/>
    </row>
    <row r="39" ht="29" customHeight="1">
      <c r="A39" s="5" t="inlineStr">
        <is>
          <t>1.5.3</t>
        </is>
      </c>
      <c r="B39" s="17" t="inlineStr">
        <is>
          <t>1-输入与操控</t>
        </is>
      </c>
      <c r="C39" s="17" t="inlineStr">
        <is>
          <t>1.5 重映射与辅助</t>
        </is>
      </c>
      <c r="D39" s="17" t="inlineStr">
        <is>
          <t>辅助锁定</t>
        </is>
      </c>
      <c r="E39" s="17" t="inlineStr">
        <is>
          <t>鸣潮手机:自动锁定;旅人:长按锁定部位</t>
        </is>
      </c>
      <c r="F39" s="17" t="inlineStr">
        <is>
          <t>-</t>
        </is>
      </c>
      <c r="G39" s="17" t="inlineStr">
        <is>
          <t>自动/手动锁定开关、优先部位</t>
        </is>
      </c>
      <c r="H39" s="5" t="inlineStr">
        <is>
          <t>S6,S1</t>
        </is>
      </c>
      <c r="I39" s="9" t="inlineStr">
        <is>
          <t>P1</t>
        </is>
      </c>
      <c r="J39" s="5" t="inlineStr">
        <is>
          <t>M</t>
        </is>
      </c>
      <c r="K39" s="95" t="n">
        <v>2</v>
      </c>
      <c r="L39" s="95" t="n">
        <v>0</v>
      </c>
      <c r="M39" s="95" t="n">
        <v>3</v>
      </c>
      <c r="N39" s="95" t="n">
        <v>0</v>
      </c>
      <c r="O39" s="95" t="n">
        <v>2</v>
      </c>
      <c r="P39" s="96">
        <f>SUM(K39:O39)</f>
        <v/>
      </c>
      <c r="Q39" s="5" t="inlineStr">
        <is>
          <t>待评审</t>
        </is>
      </c>
      <c r="R39" s="17" t="n"/>
    </row>
    <row r="40" ht="14.5" customHeight="1">
      <c r="A40" s="5" t="inlineStr">
        <is>
          <t>1.5.4</t>
        </is>
      </c>
      <c r="B40" s="17" t="inlineStr">
        <is>
          <t>1-输入与操控</t>
        </is>
      </c>
      <c r="C40" s="17" t="inlineStr">
        <is>
          <t>1.5 重映射与辅助</t>
        </is>
      </c>
      <c r="D40" s="17" t="inlineStr">
        <is>
          <t>多设备配置独立保存</t>
        </is>
      </c>
      <c r="E40" s="17" t="inlineStr">
        <is>
          <t>-</t>
        </is>
      </c>
      <c r="F40" s="17" t="inlineStr">
        <is>
          <t>鸣潮:切设备后建议重校准</t>
        </is>
      </c>
      <c r="G40" s="17" t="inlineStr">
        <is>
          <t>每设备独立保存键位/灵敏度</t>
        </is>
      </c>
      <c r="H40" s="5" t="inlineStr">
        <is>
          <t>S6</t>
        </is>
      </c>
      <c r="I40" s="9" t="inlineStr">
        <is>
          <t>P1</t>
        </is>
      </c>
      <c r="J40" s="5" t="inlineStr">
        <is>
          <t>S</t>
        </is>
      </c>
      <c r="K40" s="95" t="n">
        <v>1</v>
      </c>
      <c r="L40" s="95" t="n">
        <v>0</v>
      </c>
      <c r="M40" s="95" t="n">
        <v>2</v>
      </c>
      <c r="N40" s="95" t="n">
        <v>0</v>
      </c>
      <c r="O40" s="95" t="n">
        <v>1</v>
      </c>
      <c r="P40" s="96">
        <f>SUM(K40:O40)</f>
        <v/>
      </c>
      <c r="Q40" s="5" t="inlineStr">
        <is>
          <t>待评审</t>
        </is>
      </c>
      <c r="R40" s="17" t="n"/>
    </row>
    <row r="41" ht="14.5" customHeight="1">
      <c r="A41" s="5" t="inlineStr">
        <is>
          <t>1.5.5</t>
        </is>
      </c>
      <c r="B41" s="17" t="inlineStr">
        <is>
          <t>1-输入与操控</t>
        </is>
      </c>
      <c r="C41" s="17" t="inlineStr">
        <is>
          <t>1.5 重映射与辅助</t>
        </is>
      </c>
      <c r="D41" s="17" t="inlineStr">
        <is>
          <t>改键冲突检测/恢复默认</t>
        </is>
      </c>
      <c r="E41" s="17" t="inlineStr">
        <is>
          <t>-</t>
        </is>
      </c>
      <c r="F41" s="17" t="inlineStr">
        <is>
          <t>荒野:主/次要键、不可改键</t>
        </is>
      </c>
      <c r="G41" s="17" t="inlineStr">
        <is>
          <t>冲突提示、一键恢复、不可改键锁定</t>
        </is>
      </c>
      <c r="H41" s="5" t="inlineStr">
        <is>
          <t>S3</t>
        </is>
      </c>
      <c r="I41" s="9" t="inlineStr">
        <is>
          <t>P1</t>
        </is>
      </c>
      <c r="J41" s="5" t="inlineStr">
        <is>
          <t>M</t>
        </is>
      </c>
      <c r="K41" s="95" t="n">
        <v>1</v>
      </c>
      <c r="L41" s="95" t="n">
        <v>1</v>
      </c>
      <c r="M41" s="95" t="n">
        <v>3</v>
      </c>
      <c r="N41" s="95" t="n">
        <v>0</v>
      </c>
      <c r="O41" s="95" t="n">
        <v>2</v>
      </c>
      <c r="P41" s="96">
        <f>SUM(K41:O41)</f>
        <v/>
      </c>
      <c r="Q41" s="5" t="inlineStr">
        <is>
          <t>待评审</t>
        </is>
      </c>
      <c r="R41" s="17" t="n"/>
    </row>
    <row r="42" ht="14.5" customHeight="1">
      <c r="A42" s="5" t="inlineStr">
        <is>
          <t>1.5.6</t>
        </is>
      </c>
      <c r="B42" s="17" t="inlineStr">
        <is>
          <t>1-输入与操控</t>
        </is>
      </c>
      <c r="C42" s="17" t="inlineStr">
        <is>
          <t>1.5 重映射与辅助</t>
        </is>
      </c>
      <c r="D42" s="17" t="inlineStr">
        <is>
          <t>键位预设与云同步</t>
        </is>
      </c>
      <c r="E42" s="17" t="inlineStr">
        <is>
          <t>-</t>
        </is>
      </c>
      <c r="F42" s="17" t="inlineStr">
        <is>
          <t>崛起PC:社区推荐改键方案</t>
        </is>
      </c>
      <c r="G42" s="17" t="inlineStr">
        <is>
          <t>2~3套预设,配置随账号云同步</t>
        </is>
      </c>
      <c r="H42" s="5" t="inlineStr">
        <is>
          <t>S21</t>
        </is>
      </c>
      <c r="I42" s="10" t="inlineStr">
        <is>
          <t>P2</t>
        </is>
      </c>
      <c r="J42" s="5" t="inlineStr">
        <is>
          <t>M</t>
        </is>
      </c>
      <c r="K42" s="95" t="n">
        <v>2</v>
      </c>
      <c r="L42" s="95" t="n">
        <v>1</v>
      </c>
      <c r="M42" s="95" t="n">
        <v>4</v>
      </c>
      <c r="N42" s="95" t="n">
        <v>0</v>
      </c>
      <c r="O42" s="95" t="n">
        <v>2</v>
      </c>
      <c r="P42" s="96">
        <f>SUM(K42:O42)</f>
        <v/>
      </c>
      <c r="Q42" s="5" t="inlineStr">
        <is>
          <t>待评审</t>
        </is>
      </c>
      <c r="R42" s="17" t="n"/>
    </row>
    <row r="43" ht="29" customHeight="1">
      <c r="A43" s="5" t="inlineStr">
        <is>
          <t>1.5.7</t>
        </is>
      </c>
      <c r="B43" s="17" t="inlineStr">
        <is>
          <t>1-输入与操控</t>
        </is>
      </c>
      <c r="C43" s="17" t="inlineStr">
        <is>
          <t>1.5 重映射与辅助</t>
        </is>
      </c>
      <c r="D43" s="17" t="inlineStr">
        <is>
          <t>无障碍(按住/切换、反转轴)</t>
        </is>
      </c>
      <c r="E43" s="17" t="inlineStr">
        <is>
          <t>-</t>
        </is>
      </c>
      <c r="F43" s="17" t="inlineStr">
        <is>
          <t>Xbox无障碍:重映射、灵敏度、替代输入</t>
        </is>
      </c>
      <c r="G43" s="17" t="inlineStr">
        <is>
          <t>长按改切换式、Y轴反转、摇杆互换</t>
        </is>
      </c>
      <c r="H43" s="5" t="inlineStr">
        <is>
          <t>S18</t>
        </is>
      </c>
      <c r="I43" s="10" t="inlineStr">
        <is>
          <t>P2</t>
        </is>
      </c>
      <c r="J43" s="5" t="inlineStr">
        <is>
          <t>M</t>
        </is>
      </c>
      <c r="K43" s="95" t="n">
        <v>1</v>
      </c>
      <c r="L43" s="95" t="n">
        <v>0</v>
      </c>
      <c r="M43" s="95" t="n">
        <v>3</v>
      </c>
      <c r="N43" s="95" t="n">
        <v>0</v>
      </c>
      <c r="O43" s="95" t="n">
        <v>2</v>
      </c>
      <c r="P43" s="96">
        <f>SUM(K43:O43)</f>
        <v/>
      </c>
      <c r="Q43" s="5" t="inlineStr">
        <is>
          <t>待评审</t>
        </is>
      </c>
      <c r="R43" s="17" t="n"/>
    </row>
    <row r="44" ht="29" customHeight="1">
      <c r="A44" s="5" t="inlineStr">
        <is>
          <t>1.6.1</t>
        </is>
      </c>
      <c r="B44" s="17" t="inlineStr">
        <is>
          <t>1-输入与操控</t>
        </is>
      </c>
      <c r="C44" s="17" t="inlineStr">
        <is>
          <t>1.6 手柄UI导航</t>
        </is>
      </c>
      <c r="D44" s="17" t="inlineStr">
        <is>
          <t>手柄可访问全部内容</t>
        </is>
      </c>
      <c r="E44" s="17" t="inlineStr">
        <is>
          <t>触屏点任意位置</t>
        </is>
      </c>
      <c r="F44" s="17" t="inlineStr">
        <is>
          <t>Steam Deck 1.2:默认手柄配置须能访问所有内容</t>
        </is>
      </c>
      <c r="G44" s="17" t="inlineStr">
        <is>
          <t>盘点触屏专属操作,保证手柄均有路径</t>
        </is>
      </c>
      <c r="H44" s="5" t="inlineStr">
        <is>
          <t>S17</t>
        </is>
      </c>
      <c r="I44" s="8" t="inlineStr">
        <is>
          <t>P0</t>
        </is>
      </c>
      <c r="J44" s="5" t="inlineStr">
        <is>
          <t>M</t>
        </is>
      </c>
      <c r="K44" s="95" t="n">
        <v>3</v>
      </c>
      <c r="L44" s="95" t="n">
        <v>0</v>
      </c>
      <c r="M44" s="95" t="n">
        <v>2</v>
      </c>
      <c r="N44" s="95" t="n">
        <v>0</v>
      </c>
      <c r="O44" s="95" t="n">
        <v>3</v>
      </c>
      <c r="P44" s="96">
        <f>SUM(K44:O44)</f>
        <v/>
      </c>
      <c r="Q44" s="5" t="inlineStr">
        <is>
          <t>待评审</t>
        </is>
      </c>
      <c r="R44" s="17" t="n"/>
    </row>
    <row r="45" ht="29" customHeight="1">
      <c r="A45" s="5" t="inlineStr">
        <is>
          <t>1.6.2</t>
        </is>
      </c>
      <c r="B45" s="17" t="inlineStr">
        <is>
          <t>1-输入与操控</t>
        </is>
      </c>
      <c r="C45" s="17" t="inlineStr">
        <is>
          <t>1.6 手柄UI导航</t>
        </is>
      </c>
      <c r="D45" s="17" t="inlineStr">
        <is>
          <t>UI焦点导航</t>
        </is>
      </c>
      <c r="E45" s="17" t="inlineStr">
        <is>
          <t>触屏直接点按</t>
        </is>
      </c>
      <c r="F45" s="17" t="inlineStr">
        <is>
          <t>主机/Steam Deck:菜单内焦点框导航</t>
        </is>
      </c>
      <c r="G45" s="17" t="inlineStr">
        <is>
          <t>每个界面配焦点顺序、焦点框样式、焦点记忆</t>
        </is>
      </c>
      <c r="H45" s="5" t="inlineStr">
        <is>
          <t>S17,EXP</t>
        </is>
      </c>
      <c r="I45" s="8" t="inlineStr">
        <is>
          <t>P0</t>
        </is>
      </c>
      <c r="J45" s="5" t="inlineStr">
        <is>
          <t>XL</t>
        </is>
      </c>
      <c r="K45" s="95" t="n">
        <v>3</v>
      </c>
      <c r="L45" s="95" t="n">
        <v>3</v>
      </c>
      <c r="M45" s="95">
        <f>假设参数!$B$2*假设参数!$B$3</f>
        <v/>
      </c>
      <c r="N45" s="95" t="n">
        <v>0</v>
      </c>
      <c r="O45" s="95">
        <f>假设参数!$B$2*假设参数!$B$4</f>
        <v/>
      </c>
      <c r="P45" s="96">
        <f>SUM(K45:O45)</f>
        <v/>
      </c>
      <c r="Q45" s="5" t="inlineStr">
        <is>
          <t>待评审</t>
        </is>
      </c>
      <c r="R45" s="17" t="inlineStr">
        <is>
          <t>随界面数线性增长</t>
        </is>
      </c>
    </row>
    <row r="46" ht="14.5" customHeight="1">
      <c r="A46" s="5" t="inlineStr">
        <is>
          <t>1.6.3</t>
        </is>
      </c>
      <c r="B46" s="17" t="inlineStr">
        <is>
          <t>1-输入与操控</t>
        </is>
      </c>
      <c r="C46" s="17" t="inlineStr">
        <is>
          <t>1.6 手柄UI导航</t>
        </is>
      </c>
      <c r="D46" s="17" t="inlineStr">
        <is>
          <t>手柄界面快捷操作规范</t>
        </is>
      </c>
      <c r="E46" s="17" t="inlineStr">
        <is>
          <t>触屏页签点击</t>
        </is>
      </c>
      <c r="F46" s="17" t="inlineStr">
        <is>
          <t>荒野:L1/R1翻页、L2/R2切类别</t>
        </is>
      </c>
      <c r="G46" s="17" t="inlineStr">
        <is>
          <t>全局手柄UI键规范</t>
        </is>
      </c>
      <c r="H46" s="5" t="inlineStr">
        <is>
          <t>S3</t>
        </is>
      </c>
      <c r="I46" s="9" t="inlineStr">
        <is>
          <t>P1</t>
        </is>
      </c>
      <c r="J46" s="5" t="inlineStr">
        <is>
          <t>M</t>
        </is>
      </c>
      <c r="K46" s="95" t="n">
        <v>2</v>
      </c>
      <c r="L46" s="95" t="n">
        <v>0</v>
      </c>
      <c r="M46" s="95" t="n">
        <v>4</v>
      </c>
      <c r="N46" s="95" t="n">
        <v>0</v>
      </c>
      <c r="O46" s="95" t="n">
        <v>2</v>
      </c>
      <c r="P46" s="96">
        <f>SUM(K46:O46)</f>
        <v/>
      </c>
      <c r="Q46" s="5" t="inlineStr">
        <is>
          <t>待评审</t>
        </is>
      </c>
      <c r="R46" s="17" t="n"/>
    </row>
    <row r="47" ht="29" customHeight="1">
      <c r="A47" s="5" t="inlineStr">
        <is>
          <t>1.6.4</t>
        </is>
      </c>
      <c r="B47" s="17" t="inlineStr">
        <is>
          <t>1-输入与操控</t>
        </is>
      </c>
      <c r="C47" s="17" t="inlineStr">
        <is>
          <t>1.6 手柄UI导航</t>
        </is>
      </c>
      <c r="D47" s="17" t="inlineStr">
        <is>
          <t>手柄高级特性</t>
        </is>
      </c>
      <c r="E47" s="17" t="inlineStr">
        <is>
          <t>手机振动</t>
        </is>
      </c>
      <c r="F47" s="17" t="inlineStr">
        <is>
          <t>NTGame:PS5扳机与陀螺仪参与瞄准反馈</t>
        </is>
      </c>
      <c r="G47" s="17" t="inlineStr">
        <is>
          <t>震动波形、自适应扳机、陀螺仪(选做)</t>
        </is>
      </c>
      <c r="H47" s="5" t="inlineStr">
        <is>
          <t>S6</t>
        </is>
      </c>
      <c r="I47" s="10" t="inlineStr">
        <is>
          <t>P2</t>
        </is>
      </c>
      <c r="J47" s="5" t="inlineStr">
        <is>
          <t>L</t>
        </is>
      </c>
      <c r="K47" s="95" t="n">
        <v>2</v>
      </c>
      <c r="L47" s="95" t="n">
        <v>0</v>
      </c>
      <c r="M47" s="95" t="n">
        <v>8</v>
      </c>
      <c r="N47" s="95" t="n">
        <v>2</v>
      </c>
      <c r="O47" s="95" t="n">
        <v>3</v>
      </c>
      <c r="P47" s="96">
        <f>SUM(K47:O47)</f>
        <v/>
      </c>
      <c r="Q47" s="5" t="inlineStr">
        <is>
          <t>待评审</t>
        </is>
      </c>
      <c r="R47" s="17" t="n"/>
    </row>
    <row r="48" ht="29" customHeight="1">
      <c r="A48" s="5" t="inlineStr">
        <is>
          <t>1.7.1</t>
        </is>
      </c>
      <c r="B48" s="17" t="inlineStr">
        <is>
          <t>1-输入与操控</t>
        </is>
      </c>
      <c r="C48" s="17" t="inlineStr">
        <is>
          <t>1.7 文本输入</t>
        </is>
      </c>
      <c r="D48" s="17" t="inlineStr">
        <is>
          <t>IME中文输入</t>
        </is>
      </c>
      <c r="E48" s="17" t="inlineStr">
        <is>
          <t>手机系统输入法</t>
        </is>
      </c>
      <c r="F48" s="17" t="inlineStr">
        <is>
          <t>PC:游戏内需处理IME候选框</t>
        </is>
      </c>
      <c r="G48" s="17" t="inlineStr">
        <is>
          <t>聊天/命名支持IME、候选框定位、输入态屏蔽游戏键</t>
        </is>
      </c>
      <c r="H48" s="5" t="inlineStr">
        <is>
          <t>EXP</t>
        </is>
      </c>
      <c r="I48" s="8" t="inlineStr">
        <is>
          <t>P0</t>
        </is>
      </c>
      <c r="J48" s="5" t="inlineStr">
        <is>
          <t>M</t>
        </is>
      </c>
      <c r="K48" s="95" t="n">
        <v>1</v>
      </c>
      <c r="L48" s="95" t="n">
        <v>1</v>
      </c>
      <c r="M48" s="95" t="n">
        <v>5</v>
      </c>
      <c r="N48" s="95" t="n">
        <v>0</v>
      </c>
      <c r="O48" s="95" t="n">
        <v>3</v>
      </c>
      <c r="P48" s="96">
        <f>SUM(K48:O48)</f>
        <v/>
      </c>
      <c r="Q48" s="5" t="inlineStr">
        <is>
          <t>待评审</t>
        </is>
      </c>
      <c r="R48" s="17" t="n"/>
    </row>
    <row r="49" ht="29" customHeight="1">
      <c r="A49" s="5" t="inlineStr">
        <is>
          <t>1.7.2</t>
        </is>
      </c>
      <c r="B49" s="17" t="inlineStr">
        <is>
          <t>1-输入与操控</t>
        </is>
      </c>
      <c r="C49" s="17" t="inlineStr">
        <is>
          <t>1.7 文本输入</t>
        </is>
      </c>
      <c r="D49" s="17" t="inlineStr">
        <is>
          <t>手柄文本输入(虚拟键盘)</t>
        </is>
      </c>
      <c r="E49" s="17" t="inlineStr">
        <is>
          <t>手机系统键盘</t>
        </is>
      </c>
      <c r="F49" s="17" t="inlineStr">
        <is>
          <t>Steam Deck 3.1;Xbox掌机:仅手柄+虚拟键盘可完成输入</t>
        </is>
      </c>
      <c r="G49" s="17" t="inlineStr">
        <is>
          <t>手柄唤起虚拟键盘</t>
        </is>
      </c>
      <c r="H49" s="5" t="inlineStr">
        <is>
          <t>S17,S18</t>
        </is>
      </c>
      <c r="I49" s="9" t="inlineStr">
        <is>
          <t>P1</t>
        </is>
      </c>
      <c r="J49" s="5" t="inlineStr">
        <is>
          <t>M</t>
        </is>
      </c>
      <c r="K49" s="95" t="n">
        <v>1</v>
      </c>
      <c r="L49" s="95" t="n">
        <v>2</v>
      </c>
      <c r="M49" s="95" t="n">
        <v>4</v>
      </c>
      <c r="N49" s="95" t="n">
        <v>0</v>
      </c>
      <c r="O49" s="95" t="n">
        <v>2</v>
      </c>
      <c r="P49" s="96">
        <f>SUM(K49:O49)</f>
        <v/>
      </c>
      <c r="Q49" s="5" t="inlineStr">
        <is>
          <t>待评审</t>
        </is>
      </c>
      <c r="R49" s="17" t="n"/>
    </row>
    <row r="50" ht="14.5" customHeight="1">
      <c r="A50" s="5" t="inlineStr">
        <is>
          <t>1.7.3</t>
        </is>
      </c>
      <c r="B50" s="17" t="inlineStr">
        <is>
          <t>1-输入与操控</t>
        </is>
      </c>
      <c r="C50" s="17" t="inlineStr">
        <is>
          <t>1.7 文本输入</t>
        </is>
      </c>
      <c r="D50" s="17" t="inlineStr">
        <is>
          <t>聊天框键盘行为</t>
        </is>
      </c>
      <c r="E50" s="17" t="inlineStr">
        <is>
          <t>触屏</t>
        </is>
      </c>
      <c r="F50" s="17" t="inlineStr">
        <is>
          <t>荒野:Enter聊天</t>
        </is>
      </c>
      <c r="G50" s="17" t="inlineStr">
        <is>
          <t>Enter发送/Esc取消/复制粘贴/历史</t>
        </is>
      </c>
      <c r="H50" s="5" t="inlineStr">
        <is>
          <t>S3</t>
        </is>
      </c>
      <c r="I50" s="9" t="inlineStr">
        <is>
          <t>P1</t>
        </is>
      </c>
      <c r="J50" s="5" t="inlineStr">
        <is>
          <t>S</t>
        </is>
      </c>
      <c r="K50" s="95" t="n">
        <v>1</v>
      </c>
      <c r="L50" s="95" t="n">
        <v>0</v>
      </c>
      <c r="M50" s="95" t="n">
        <v>2</v>
      </c>
      <c r="N50" s="95" t="n">
        <v>0</v>
      </c>
      <c r="O50" s="95" t="n">
        <v>1</v>
      </c>
      <c r="P50" s="96">
        <f>SUM(K50:O50)</f>
        <v/>
      </c>
      <c r="Q50" s="5" t="inlineStr">
        <is>
          <t>待评审</t>
        </is>
      </c>
      <c r="R50" s="17" t="n"/>
    </row>
    <row r="51" ht="29" customHeight="1">
      <c r="A51" s="5" t="inlineStr">
        <is>
          <t>2.1.1</t>
        </is>
      </c>
      <c r="B51" s="17" t="inlineStr">
        <is>
          <t>2-快捷键显示</t>
        </is>
      </c>
      <c r="C51" s="17" t="inlineStr">
        <is>
          <t>2.1 主界面HUD</t>
        </is>
      </c>
      <c r="D51" s="17" t="inlineStr">
        <is>
          <t>战斗HUD键位提示</t>
        </is>
      </c>
      <c r="E51" s="17" t="inlineStr">
        <is>
          <t>触屏按钮即提示</t>
        </is>
      </c>
      <c r="F51" s="17" t="inlineStr">
        <is>
          <t>荒野:提示随武器变化;鸣潮:技能图标+键帽</t>
        </is>
      </c>
      <c r="G51" s="17" t="inlineStr">
        <is>
          <t>技能旁常驻键鼠/手柄ICON,随武器刷新</t>
        </is>
      </c>
      <c r="H51" s="5" t="inlineStr">
        <is>
          <t>S3,S6</t>
        </is>
      </c>
      <c r="I51" s="8" t="inlineStr">
        <is>
          <t>P0</t>
        </is>
      </c>
      <c r="J51" s="5" t="inlineStr">
        <is>
          <t>M</t>
        </is>
      </c>
      <c r="K51" s="95" t="n">
        <v>2</v>
      </c>
      <c r="L51" s="95" t="n">
        <v>4</v>
      </c>
      <c r="M51" s="95" t="n">
        <v>4</v>
      </c>
      <c r="N51" s="95" t="n">
        <v>0</v>
      </c>
      <c r="O51" s="95" t="n">
        <v>2</v>
      </c>
      <c r="P51" s="96">
        <f>SUM(K51:O51)</f>
        <v/>
      </c>
      <c r="Q51" s="5" t="inlineStr">
        <is>
          <t>待评审</t>
        </is>
      </c>
      <c r="R51" s="17" t="n"/>
    </row>
    <row r="52" ht="14.5" customHeight="1">
      <c r="A52" s="5" t="inlineStr">
        <is>
          <t>2.1.2</t>
        </is>
      </c>
      <c r="B52" s="17" t="inlineStr">
        <is>
          <t>2-快捷键显示</t>
        </is>
      </c>
      <c r="C52" s="17" t="inlineStr">
        <is>
          <t>2.1 主界面HUD</t>
        </is>
      </c>
      <c r="D52" s="17" t="inlineStr">
        <is>
          <t>常驻功能键提示</t>
        </is>
      </c>
      <c r="E52" s="17" t="inlineStr">
        <is>
          <t>触屏按钮</t>
        </is>
      </c>
      <c r="F52" s="17" t="inlineStr">
        <is>
          <t>荒野:角落常驻菜单/地图提示</t>
        </is>
      </c>
      <c r="G52" s="17" t="inlineStr">
        <is>
          <t>主界面常驻Esc/地图/背包键提示</t>
        </is>
      </c>
      <c r="H52" s="5" t="inlineStr">
        <is>
          <t>S3</t>
        </is>
      </c>
      <c r="I52" s="9" t="inlineStr">
        <is>
          <t>P1</t>
        </is>
      </c>
      <c r="J52" s="5" t="inlineStr">
        <is>
          <t>S</t>
        </is>
      </c>
      <c r="K52" s="95" t="n">
        <v>1</v>
      </c>
      <c r="L52" s="95" t="n">
        <v>2</v>
      </c>
      <c r="M52" s="95" t="n">
        <v>2</v>
      </c>
      <c r="N52" s="95" t="n">
        <v>0</v>
      </c>
      <c r="O52" s="95" t="n">
        <v>1</v>
      </c>
      <c r="P52" s="96">
        <f>SUM(K52:O52)</f>
        <v/>
      </c>
      <c r="Q52" s="5" t="inlineStr">
        <is>
          <t>待评审</t>
        </is>
      </c>
      <c r="R52" s="17" t="n"/>
    </row>
    <row r="53" ht="14.5" customHeight="1">
      <c r="A53" s="5" t="inlineStr">
        <is>
          <t>2.1.3</t>
        </is>
      </c>
      <c r="B53" s="17" t="inlineStr">
        <is>
          <t>2-快捷键显示</t>
        </is>
      </c>
      <c r="C53" s="17" t="inlineStr">
        <is>
          <t>2.1 主界面HUD</t>
        </is>
      </c>
      <c r="D53" s="17" t="inlineStr">
        <is>
          <t>连段同键提示</t>
        </is>
      </c>
      <c r="E53" s="17" t="inlineStr">
        <is>
          <t>旅人:同键连按自动切下一段</t>
        </is>
      </c>
      <c r="F53" s="17" t="inlineStr">
        <is>
          <t>-</t>
        </is>
      </c>
      <c r="G53" s="17" t="inlineStr">
        <is>
          <t>明确同一键连按的提示</t>
        </is>
      </c>
      <c r="H53" s="5" t="inlineStr">
        <is>
          <t>S1</t>
        </is>
      </c>
      <c r="I53" s="9" t="inlineStr">
        <is>
          <t>P1</t>
        </is>
      </c>
      <c r="J53" s="5" t="inlineStr">
        <is>
          <t>S</t>
        </is>
      </c>
      <c r="K53" s="95" t="n">
        <v>1</v>
      </c>
      <c r="L53" s="95" t="n">
        <v>1</v>
      </c>
      <c r="M53" s="95" t="n">
        <v>2</v>
      </c>
      <c r="N53" s="95" t="n">
        <v>0</v>
      </c>
      <c r="O53" s="95" t="n">
        <v>1</v>
      </c>
      <c r="P53" s="96">
        <f>SUM(K53:O53)</f>
        <v/>
      </c>
      <c r="Q53" s="5" t="inlineStr">
        <is>
          <t>待评审</t>
        </is>
      </c>
      <c r="R53" s="17" t="n"/>
    </row>
    <row r="54" ht="29" customHeight="1">
      <c r="A54" s="5" t="inlineStr">
        <is>
          <t>2.1.4</t>
        </is>
      </c>
      <c r="B54" s="17" t="inlineStr">
        <is>
          <t>2-快捷键显示</t>
        </is>
      </c>
      <c r="C54" s="17" t="inlineStr">
        <is>
          <t>2.1 主界面HUD</t>
        </is>
      </c>
      <c r="D54" s="17" t="inlineStr">
        <is>
          <t>提示随改键实时更新</t>
        </is>
      </c>
      <c r="E54" s="17" t="inlineStr">
        <is>
          <t>触屏按钮=固定图</t>
        </is>
      </c>
      <c r="F54" s="17" t="inlineStr">
        <is>
          <t>荒野/鸣潮:改键后提示同步</t>
        </is>
      </c>
      <c r="G54" s="17" t="inlineStr">
        <is>
          <t>提示读取当前绑定动态生成,禁止写死贴图</t>
        </is>
      </c>
      <c r="H54" s="5" t="inlineStr">
        <is>
          <t>S3,S6</t>
        </is>
      </c>
      <c r="I54" s="8" t="inlineStr">
        <is>
          <t>P0</t>
        </is>
      </c>
      <c r="J54" s="5" t="inlineStr">
        <is>
          <t>M</t>
        </is>
      </c>
      <c r="K54" s="95" t="n">
        <v>1</v>
      </c>
      <c r="L54" s="95" t="n">
        <v>0</v>
      </c>
      <c r="M54" s="95" t="n">
        <v>4</v>
      </c>
      <c r="N54" s="95" t="n">
        <v>0</v>
      </c>
      <c r="O54" s="95" t="n">
        <v>2</v>
      </c>
      <c r="P54" s="96">
        <f>SUM(K54:O54)</f>
        <v/>
      </c>
      <c r="Q54" s="5" t="inlineStr">
        <is>
          <t>待评审</t>
        </is>
      </c>
      <c r="R54" s="17" t="n"/>
    </row>
    <row r="55" ht="14.5" customHeight="1">
      <c r="A55" s="5" t="inlineStr">
        <is>
          <t>2.1.5</t>
        </is>
      </c>
      <c r="B55" s="17" t="inlineStr">
        <is>
          <t>2-快捷键显示</t>
        </is>
      </c>
      <c r="C55" s="17" t="inlineStr">
        <is>
          <t>2.1 主界面HUD</t>
        </is>
      </c>
      <c r="D55" s="17" t="inlineStr">
        <is>
          <t>CD/能量状态与键帽叠加</t>
        </is>
      </c>
      <c r="E55" s="17" t="inlineStr">
        <is>
          <t>触屏按钮自带CD遮罩</t>
        </is>
      </c>
      <c r="F55" s="17" t="inlineStr">
        <is>
          <t>鸣潮PC:技能图标+键帽+CD</t>
        </is>
      </c>
      <c r="G55" s="17" t="inlineStr">
        <is>
          <t>CD与键帽同框的视觉规范</t>
        </is>
      </c>
      <c r="H55" s="5" t="inlineStr">
        <is>
          <t>S6</t>
        </is>
      </c>
      <c r="I55" s="9" t="inlineStr">
        <is>
          <t>P1</t>
        </is>
      </c>
      <c r="J55" s="5" t="inlineStr">
        <is>
          <t>M</t>
        </is>
      </c>
      <c r="K55" s="95" t="n">
        <v>1</v>
      </c>
      <c r="L55" s="95" t="n">
        <v>3</v>
      </c>
      <c r="M55" s="95" t="n">
        <v>2</v>
      </c>
      <c r="N55" s="95" t="n">
        <v>0</v>
      </c>
      <c r="O55" s="95" t="n">
        <v>1</v>
      </c>
      <c r="P55" s="96">
        <f>SUM(K55:O55)</f>
        <v/>
      </c>
      <c r="Q55" s="5" t="inlineStr">
        <is>
          <t>待评审</t>
        </is>
      </c>
      <c r="R55" s="17" t="n"/>
    </row>
    <row r="56" ht="14.5" customHeight="1">
      <c r="A56" s="5" t="inlineStr">
        <is>
          <t>2.2.1</t>
        </is>
      </c>
      <c r="B56" s="17" t="inlineStr">
        <is>
          <t>2-快捷键显示</t>
        </is>
      </c>
      <c r="C56" s="17" t="inlineStr">
        <is>
          <t>2.2 交互界面</t>
        </is>
      </c>
      <c r="D56" s="17" t="inlineStr">
        <is>
          <t>交互提示图标</t>
        </is>
      </c>
      <c r="E56" s="17" t="inlineStr">
        <is>
          <t>触屏交互按钮</t>
        </is>
      </c>
      <c r="F56" s="17" t="inlineStr">
        <is>
          <t>荒野:F调查;原神/星铁:F交互</t>
        </is>
      </c>
      <c r="G56" s="17" t="inlineStr">
        <is>
          <t>靠近可交互物弹出键帽提示</t>
        </is>
      </c>
      <c r="H56" s="5" t="inlineStr">
        <is>
          <t>S3,S15</t>
        </is>
      </c>
      <c r="I56" s="8" t="inlineStr">
        <is>
          <t>P0</t>
        </is>
      </c>
      <c r="J56" s="5" t="inlineStr">
        <is>
          <t>S</t>
        </is>
      </c>
      <c r="K56" s="95" t="n">
        <v>1</v>
      </c>
      <c r="L56" s="95" t="n">
        <v>1</v>
      </c>
      <c r="M56" s="95" t="n">
        <v>2</v>
      </c>
      <c r="N56" s="95" t="n">
        <v>0</v>
      </c>
      <c r="O56" s="95" t="n">
        <v>1</v>
      </c>
      <c r="P56" s="96">
        <f>SUM(K56:O56)</f>
        <v/>
      </c>
      <c r="Q56" s="5" t="inlineStr">
        <is>
          <t>待评审</t>
        </is>
      </c>
      <c r="R56" s="17" t="n"/>
    </row>
    <row r="57" ht="14.5" customHeight="1">
      <c r="A57" s="5" t="inlineStr">
        <is>
          <t>2.2.2</t>
        </is>
      </c>
      <c r="B57" s="17" t="inlineStr">
        <is>
          <t>2-快捷键显示</t>
        </is>
      </c>
      <c r="C57" s="17" t="inlineStr">
        <is>
          <t>2.2 交互界面</t>
        </is>
      </c>
      <c r="D57" s="17" t="inlineStr">
        <is>
          <t>建造选单提示</t>
        </is>
      </c>
      <c r="E57" s="17" t="inlineStr">
        <is>
          <t>旅人:制作键→选建造物</t>
        </is>
      </c>
      <c r="F57" s="17" t="inlineStr">
        <is>
          <t>荒野:快捷盘</t>
        </is>
      </c>
      <c r="G57" s="17" t="inlineStr">
        <is>
          <t>数字键/方向键选择提示</t>
        </is>
      </c>
      <c r="H57" s="5" t="inlineStr">
        <is>
          <t>S1,S3</t>
        </is>
      </c>
      <c r="I57" s="9" t="inlineStr">
        <is>
          <t>P1</t>
        </is>
      </c>
      <c r="J57" s="5" t="inlineStr">
        <is>
          <t>S</t>
        </is>
      </c>
      <c r="K57" s="95" t="n">
        <v>1</v>
      </c>
      <c r="L57" s="95" t="n">
        <v>1</v>
      </c>
      <c r="M57" s="95" t="n">
        <v>2</v>
      </c>
      <c r="N57" s="95" t="n">
        <v>0</v>
      </c>
      <c r="O57" s="95" t="n">
        <v>1</v>
      </c>
      <c r="P57" s="96">
        <f>SUM(K57:O57)</f>
        <v/>
      </c>
      <c r="Q57" s="5" t="inlineStr">
        <is>
          <t>待评审</t>
        </is>
      </c>
      <c r="R57" s="17" t="n"/>
    </row>
    <row r="58" ht="14.5" customHeight="1">
      <c r="A58" s="5" t="inlineStr">
        <is>
          <t>2.2.3</t>
        </is>
      </c>
      <c r="B58" s="17" t="inlineStr">
        <is>
          <t>2-快捷键显示</t>
        </is>
      </c>
      <c r="C58" s="17" t="inlineStr">
        <is>
          <t>2.2 交互界面</t>
        </is>
      </c>
      <c r="D58" s="17" t="inlineStr">
        <is>
          <t>界面底部操作提示栏</t>
        </is>
      </c>
      <c r="E58" s="17" t="inlineStr">
        <is>
          <t>触屏按钮</t>
        </is>
      </c>
      <c r="F58" s="17" t="inlineStr">
        <is>
          <t>荒野:确定/返回/翻页/排序键帽栏</t>
        </is>
      </c>
      <c r="G58" s="17" t="inlineStr">
        <is>
          <t>每个界面接入操作提示栏</t>
        </is>
      </c>
      <c r="H58" s="5" t="inlineStr">
        <is>
          <t>S3</t>
        </is>
      </c>
      <c r="I58" s="8" t="inlineStr">
        <is>
          <t>P0</t>
        </is>
      </c>
      <c r="J58" s="5" t="inlineStr">
        <is>
          <t>L</t>
        </is>
      </c>
      <c r="K58" s="95" t="n">
        <v>2</v>
      </c>
      <c r="L58" s="95">
        <f>假设参数!$B$2*假设参数!$B$6</f>
        <v/>
      </c>
      <c r="M58" s="95">
        <f>假设参数!$B$2*假设参数!$B$7</f>
        <v/>
      </c>
      <c r="N58" s="95" t="n">
        <v>0</v>
      </c>
      <c r="O58" s="95" t="n">
        <v>3</v>
      </c>
      <c r="P58" s="96">
        <f>SUM(K58:O58)</f>
        <v/>
      </c>
      <c r="Q58" s="5" t="inlineStr">
        <is>
          <t>待评审</t>
        </is>
      </c>
      <c r="R58" s="17" t="inlineStr">
        <is>
          <t>随界面数线性增长</t>
        </is>
      </c>
    </row>
    <row r="59" ht="14.5" customHeight="1">
      <c r="A59" s="5" t="inlineStr">
        <is>
          <t>2.2.4</t>
        </is>
      </c>
      <c r="B59" s="17" t="inlineStr">
        <is>
          <t>2-快捷键显示</t>
        </is>
      </c>
      <c r="C59" s="17" t="inlineStr">
        <is>
          <t>2.2 交互界面</t>
        </is>
      </c>
      <c r="D59" s="17" t="inlineStr">
        <is>
          <t>模型预览旋转缩放提示</t>
        </is>
      </c>
      <c r="E59" s="17" t="inlineStr">
        <is>
          <t>双指手势</t>
        </is>
      </c>
      <c r="F59" s="17" t="inlineStr">
        <is>
          <t>荒野:1/3旋转、滚轮缩放</t>
        </is>
      </c>
      <c r="G59" s="17" t="inlineStr">
        <is>
          <t>预览界面提示</t>
        </is>
      </c>
      <c r="H59" s="5" t="inlineStr">
        <is>
          <t>S3</t>
        </is>
      </c>
      <c r="I59" s="10" t="inlineStr">
        <is>
          <t>P2</t>
        </is>
      </c>
      <c r="J59" s="5" t="inlineStr">
        <is>
          <t>S</t>
        </is>
      </c>
      <c r="K59" s="95" t="n">
        <v>0.5</v>
      </c>
      <c r="L59" s="95" t="n">
        <v>0.5</v>
      </c>
      <c r="M59" s="95" t="n">
        <v>1</v>
      </c>
      <c r="N59" s="95" t="n">
        <v>0</v>
      </c>
      <c r="O59" s="95" t="n">
        <v>0.5</v>
      </c>
      <c r="P59" s="96">
        <f>SUM(K59:O59)</f>
        <v/>
      </c>
      <c r="Q59" s="5" t="inlineStr">
        <is>
          <t>待评审</t>
        </is>
      </c>
      <c r="R59" s="17" t="n"/>
    </row>
    <row r="60" ht="14.5" customHeight="1">
      <c r="A60" s="5" t="inlineStr">
        <is>
          <t>2.2.5</t>
        </is>
      </c>
      <c r="B60" s="17" t="inlineStr">
        <is>
          <t>2-快捷键显示</t>
        </is>
      </c>
      <c r="C60" s="17" t="inlineStr">
        <is>
          <t>2.2 交互界面</t>
        </is>
      </c>
      <c r="D60" s="17" t="inlineStr">
        <is>
          <t>弹窗确认/取消提示</t>
        </is>
      </c>
      <c r="E60" s="17" t="inlineStr">
        <is>
          <t>触屏按钮</t>
        </is>
      </c>
      <c r="F60" s="17" t="inlineStr">
        <is>
          <t>荒野:F/空格确定、右键/Esc取消</t>
        </is>
      </c>
      <c r="G60" s="17" t="inlineStr">
        <is>
          <t>所有弹窗键帽提示</t>
        </is>
      </c>
      <c r="H60" s="5" t="inlineStr">
        <is>
          <t>S3</t>
        </is>
      </c>
      <c r="I60" s="8" t="inlineStr">
        <is>
          <t>P0</t>
        </is>
      </c>
      <c r="J60" s="5" t="inlineStr">
        <is>
          <t>S</t>
        </is>
      </c>
      <c r="K60" s="95" t="n">
        <v>1</v>
      </c>
      <c r="L60" s="95" t="n">
        <v>1</v>
      </c>
      <c r="M60" s="95" t="n">
        <v>2</v>
      </c>
      <c r="N60" s="95" t="n">
        <v>0</v>
      </c>
      <c r="O60" s="95" t="n">
        <v>1</v>
      </c>
      <c r="P60" s="96">
        <f>SUM(K60:O60)</f>
        <v/>
      </c>
      <c r="Q60" s="5" t="inlineStr">
        <is>
          <t>待评审</t>
        </is>
      </c>
      <c r="R60" s="17" t="n"/>
    </row>
    <row r="61" ht="14.5" customHeight="1">
      <c r="A61" s="5" t="inlineStr">
        <is>
          <t>2.2.6</t>
        </is>
      </c>
      <c r="B61" s="17" t="inlineStr">
        <is>
          <t>2-快捷键显示</t>
        </is>
      </c>
      <c r="C61" s="17" t="inlineStr">
        <is>
          <t>2.2 交互界面</t>
        </is>
      </c>
      <c r="D61" s="17" t="inlineStr">
        <is>
          <t>剧情对话推进/跳过</t>
        </is>
      </c>
      <c r="E61" s="17" t="inlineStr">
        <is>
          <t>触屏点击推进</t>
        </is>
      </c>
      <c r="F61" s="17" t="inlineStr">
        <is>
          <t>原神:F/空格推进</t>
        </is>
      </c>
      <c r="G61" s="17" t="inlineStr">
        <is>
          <t>推进/自动/跳过/回看快捷键</t>
        </is>
      </c>
      <c r="H61" s="5" t="inlineStr">
        <is>
          <t>S14,EXP</t>
        </is>
      </c>
      <c r="I61" s="9" t="inlineStr">
        <is>
          <t>P1</t>
        </is>
      </c>
      <c r="J61" s="5" t="inlineStr">
        <is>
          <t>S</t>
        </is>
      </c>
      <c r="K61" s="95" t="n">
        <v>1</v>
      </c>
      <c r="L61" s="95" t="n">
        <v>1</v>
      </c>
      <c r="M61" s="95" t="n">
        <v>2</v>
      </c>
      <c r="N61" s="95" t="n">
        <v>0</v>
      </c>
      <c r="O61" s="95" t="n">
        <v>1</v>
      </c>
      <c r="P61" s="96">
        <f>SUM(K61:O61)</f>
        <v/>
      </c>
      <c r="Q61" s="5" t="inlineStr">
        <is>
          <t>待评审</t>
        </is>
      </c>
      <c r="R61" s="17" t="n"/>
    </row>
    <row r="62" ht="14.5" customHeight="1">
      <c r="A62" s="5" t="inlineStr">
        <is>
          <t>2.2.7</t>
        </is>
      </c>
      <c r="B62" s="17" t="inlineStr">
        <is>
          <t>2-快捷键显示</t>
        </is>
      </c>
      <c r="C62" s="17" t="inlineStr">
        <is>
          <t>2.2 交互界面</t>
        </is>
      </c>
      <c r="D62" s="17" t="inlineStr">
        <is>
          <t>Tooltip内键位提示</t>
        </is>
      </c>
      <c r="E62" s="17" t="inlineStr">
        <is>
          <t>无悬停</t>
        </is>
      </c>
      <c r="F62" s="17" t="inlineStr">
        <is>
          <t>PC:悬停tooltip</t>
        </is>
      </c>
      <c r="G62" s="17" t="inlineStr">
        <is>
          <t>tooltip内嵌键帽</t>
        </is>
      </c>
      <c r="H62" s="5" t="inlineStr">
        <is>
          <t>EXP</t>
        </is>
      </c>
      <c r="I62" s="10" t="inlineStr">
        <is>
          <t>P2</t>
        </is>
      </c>
      <c r="J62" s="5" t="inlineStr">
        <is>
          <t>S</t>
        </is>
      </c>
      <c r="K62" s="95" t="n">
        <v>0.5</v>
      </c>
      <c r="L62" s="95" t="n">
        <v>1</v>
      </c>
      <c r="M62" s="95" t="n">
        <v>1</v>
      </c>
      <c r="N62" s="95" t="n">
        <v>0</v>
      </c>
      <c r="O62" s="95" t="n">
        <v>0.5</v>
      </c>
      <c r="P62" s="96">
        <f>SUM(K62:O62)</f>
        <v/>
      </c>
      <c r="Q62" s="5" t="inlineStr">
        <is>
          <t>待评审</t>
        </is>
      </c>
      <c r="R62" s="17" t="n"/>
    </row>
    <row r="63" ht="14.5" customHeight="1">
      <c r="A63" s="5" t="inlineStr">
        <is>
          <t>2.3.1</t>
        </is>
      </c>
      <c r="B63" s="17" t="inlineStr">
        <is>
          <t>2-快捷键显示</t>
        </is>
      </c>
      <c r="C63" s="17" t="inlineStr">
        <is>
          <t>2.3 系统界面</t>
        </is>
      </c>
      <c r="D63" s="17" t="inlineStr">
        <is>
          <t>系统菜单入口</t>
        </is>
      </c>
      <c r="E63" s="17" t="inlineStr">
        <is>
          <t>触屏菜单按钮</t>
        </is>
      </c>
      <c r="F63" s="17" t="inlineStr">
        <is>
          <t>荒野:Esc/H;星铁:ESC</t>
        </is>
      </c>
      <c r="G63" s="17" t="inlineStr">
        <is>
          <t>战斗中也可Esc呼出</t>
        </is>
      </c>
      <c r="H63" s="5" t="inlineStr">
        <is>
          <t>S3,S15</t>
        </is>
      </c>
      <c r="I63" s="8" t="inlineStr">
        <is>
          <t>P0</t>
        </is>
      </c>
      <c r="J63" s="5" t="inlineStr">
        <is>
          <t>S</t>
        </is>
      </c>
      <c r="K63" s="95" t="n">
        <v>0.5</v>
      </c>
      <c r="L63" s="95" t="n">
        <v>0.5</v>
      </c>
      <c r="M63" s="95" t="n">
        <v>1</v>
      </c>
      <c r="N63" s="95" t="n">
        <v>0</v>
      </c>
      <c r="O63" s="95" t="n">
        <v>0.5</v>
      </c>
      <c r="P63" s="96">
        <f>SUM(K63:O63)</f>
        <v/>
      </c>
      <c r="Q63" s="5" t="inlineStr">
        <is>
          <t>待评审</t>
        </is>
      </c>
      <c r="R63" s="17" t="n"/>
    </row>
    <row r="64" ht="14.5" customHeight="1">
      <c r="A64" s="5" t="inlineStr">
        <is>
          <t>2.3.2</t>
        </is>
      </c>
      <c r="B64" s="17" t="inlineStr">
        <is>
          <t>2-快捷键显示</t>
        </is>
      </c>
      <c r="C64" s="17" t="inlineStr">
        <is>
          <t>2.3 系统界面</t>
        </is>
      </c>
      <c r="D64" s="17" t="inlineStr">
        <is>
          <t>系统界面入口键提示</t>
        </is>
      </c>
      <c r="E64" s="17" t="inlineStr">
        <is>
          <t>触屏按钮</t>
        </is>
      </c>
      <c r="F64" s="17" t="inlineStr">
        <is>
          <t>荒野:M/I/J/P;星铁:C/B/M/J/F1~F5</t>
        </is>
      </c>
      <c r="G64" s="17" t="inlineStr">
        <is>
          <t>入口图标旁标快捷键</t>
        </is>
      </c>
      <c r="H64" s="5" t="inlineStr">
        <is>
          <t>S3,S15</t>
        </is>
      </c>
      <c r="I64" s="9" t="inlineStr">
        <is>
          <t>P1</t>
        </is>
      </c>
      <c r="J64" s="5" t="inlineStr">
        <is>
          <t>S</t>
        </is>
      </c>
      <c r="K64" s="95" t="n">
        <v>1</v>
      </c>
      <c r="L64" s="95" t="n">
        <v>2</v>
      </c>
      <c r="M64" s="95" t="n">
        <v>2</v>
      </c>
      <c r="N64" s="95" t="n">
        <v>0</v>
      </c>
      <c r="O64" s="95" t="n">
        <v>1</v>
      </c>
      <c r="P64" s="96">
        <f>SUM(K64:O64)</f>
        <v/>
      </c>
      <c r="Q64" s="5" t="inlineStr">
        <is>
          <t>待评审</t>
        </is>
      </c>
      <c r="R64" s="17" t="n"/>
    </row>
    <row r="65" ht="14.5" customHeight="1">
      <c r="A65" s="5" t="inlineStr">
        <is>
          <t>2.3.3</t>
        </is>
      </c>
      <c r="B65" s="17" t="inlineStr">
        <is>
          <t>2-快捷键显示</t>
        </is>
      </c>
      <c r="C65" s="17" t="inlineStr">
        <is>
          <t>2.3 系统界面</t>
        </is>
      </c>
      <c r="D65" s="17" t="inlineStr">
        <is>
          <t>设置界面键盘操作</t>
        </is>
      </c>
      <c r="E65" s="17" t="inlineStr">
        <is>
          <t>触屏</t>
        </is>
      </c>
      <c r="F65" s="17" t="inlineStr">
        <is>
          <t>荒野:O选项</t>
        </is>
      </c>
      <c r="G65" s="17" t="inlineStr">
        <is>
          <t>设置页全键盘/手柄可操作</t>
        </is>
      </c>
      <c r="H65" s="5" t="inlineStr">
        <is>
          <t>S3</t>
        </is>
      </c>
      <c r="I65" s="9" t="inlineStr">
        <is>
          <t>P1</t>
        </is>
      </c>
      <c r="J65" s="5" t="inlineStr">
        <is>
          <t>M</t>
        </is>
      </c>
      <c r="K65" s="95" t="n">
        <v>1</v>
      </c>
      <c r="L65" s="95" t="n">
        <v>1</v>
      </c>
      <c r="M65" s="95" t="n">
        <v>3</v>
      </c>
      <c r="N65" s="95" t="n">
        <v>0</v>
      </c>
      <c r="O65" s="95" t="n">
        <v>2</v>
      </c>
      <c r="P65" s="96">
        <f>SUM(K65:O65)</f>
        <v/>
      </c>
      <c r="Q65" s="5" t="inlineStr">
        <is>
          <t>待评审</t>
        </is>
      </c>
      <c r="R65" s="17" t="n"/>
    </row>
    <row r="66" ht="14.5" customHeight="1">
      <c r="A66" s="5" t="inlineStr">
        <is>
          <t>2.3.4</t>
        </is>
      </c>
      <c r="B66" s="17" t="inlineStr">
        <is>
          <t>2-快捷键显示</t>
        </is>
      </c>
      <c r="C66" s="17" t="inlineStr">
        <is>
          <t>2.3 系统界面</t>
        </is>
      </c>
      <c r="D66" s="17" t="inlineStr">
        <is>
          <t>提示显示/隐藏开关</t>
        </is>
      </c>
      <c r="E66" s="17" t="inlineStr">
        <is>
          <t>-</t>
        </is>
      </c>
      <c r="F66" s="17" t="inlineStr">
        <is>
          <t>原神:按键提示可开关</t>
        </is>
      </c>
      <c r="G66" s="17" t="inlineStr">
        <is>
          <t>提示显隐开关</t>
        </is>
      </c>
      <c r="H66" s="5" t="inlineStr">
        <is>
          <t>S14</t>
        </is>
      </c>
      <c r="I66" s="10" t="inlineStr">
        <is>
          <t>P2</t>
        </is>
      </c>
      <c r="J66" s="5" t="inlineStr">
        <is>
          <t>S</t>
        </is>
      </c>
      <c r="K66" s="95" t="n">
        <v>0.5</v>
      </c>
      <c r="L66" s="95" t="n">
        <v>0.5</v>
      </c>
      <c r="M66" s="95" t="n">
        <v>1</v>
      </c>
      <c r="N66" s="95" t="n">
        <v>0</v>
      </c>
      <c r="O66" s="95" t="n">
        <v>0.5</v>
      </c>
      <c r="P66" s="96">
        <f>SUM(K66:O66)</f>
        <v/>
      </c>
      <c r="Q66" s="5" t="inlineStr">
        <is>
          <t>待评审</t>
        </is>
      </c>
      <c r="R66" s="17" t="n"/>
    </row>
    <row r="67" ht="14.5" customHeight="1">
      <c r="A67" s="5" t="inlineStr">
        <is>
          <t>2.3.5</t>
        </is>
      </c>
      <c r="B67" s="17" t="inlineStr">
        <is>
          <t>2-快捷键显示</t>
        </is>
      </c>
      <c r="C67" s="17" t="inlineStr">
        <is>
          <t>2.3 系统界面</t>
        </is>
      </c>
      <c r="D67" s="17" t="inlineStr">
        <is>
          <t>当前界面帮助(F1)</t>
        </is>
      </c>
      <c r="E67" s="17" t="inlineStr">
        <is>
          <t>触屏?按钮</t>
        </is>
      </c>
      <c r="F67" s="17" t="inlineStr">
        <is>
          <t>原神:F1打开当前界面提示页</t>
        </is>
      </c>
      <c r="G67" s="17" t="inlineStr">
        <is>
          <t>复杂界面接F1帮助</t>
        </is>
      </c>
      <c r="H67" s="5" t="inlineStr">
        <is>
          <t>S14</t>
        </is>
      </c>
      <c r="I67" s="10" t="inlineStr">
        <is>
          <t>P2</t>
        </is>
      </c>
      <c r="J67" s="5" t="inlineStr">
        <is>
          <t>S</t>
        </is>
      </c>
      <c r="K67" s="95" t="n">
        <v>1</v>
      </c>
      <c r="L67" s="95" t="n">
        <v>1</v>
      </c>
      <c r="M67" s="95" t="n">
        <v>1</v>
      </c>
      <c r="N67" s="95" t="n">
        <v>0</v>
      </c>
      <c r="O67" s="95" t="n">
        <v>0.5</v>
      </c>
      <c r="P67" s="96">
        <f>SUM(K67:O67)</f>
        <v/>
      </c>
      <c r="Q67" s="5" t="inlineStr">
        <is>
          <t>待评审</t>
        </is>
      </c>
      <c r="R67" s="17" t="n"/>
    </row>
    <row r="68" ht="14.5" customHeight="1">
      <c r="A68" s="5" t="inlineStr">
        <is>
          <t>2.3.6</t>
        </is>
      </c>
      <c r="B68" s="17" t="inlineStr">
        <is>
          <t>2-快捷键显示</t>
        </is>
      </c>
      <c r="C68" s="17" t="inlineStr">
        <is>
          <t>2.3 系统界面</t>
        </is>
      </c>
      <c r="D68" s="17" t="inlineStr">
        <is>
          <t>游戏内键位一览/出招表</t>
        </is>
      </c>
      <c r="E68" s="17" t="inlineStr">
        <is>
          <t>触屏教学</t>
        </is>
      </c>
      <c r="F68" s="17" t="inlineStr">
        <is>
          <t>荒野:出招表;星铁:G教学目录</t>
        </is>
      </c>
      <c r="G68" s="17" t="inlineStr">
        <is>
          <t>按当前设备显示键位图/出招表</t>
        </is>
      </c>
      <c r="H68" s="5" t="inlineStr">
        <is>
          <t>S3,S15</t>
        </is>
      </c>
      <c r="I68" s="9" t="inlineStr">
        <is>
          <t>P1</t>
        </is>
      </c>
      <c r="J68" s="5" t="inlineStr">
        <is>
          <t>M</t>
        </is>
      </c>
      <c r="K68" s="95" t="n">
        <v>2</v>
      </c>
      <c r="L68" s="95" t="n">
        <v>4</v>
      </c>
      <c r="M68" s="95" t="n">
        <v>3</v>
      </c>
      <c r="N68" s="95" t="n">
        <v>0</v>
      </c>
      <c r="O68" s="95" t="n">
        <v>1</v>
      </c>
      <c r="P68" s="96">
        <f>SUM(K68:O68)</f>
        <v/>
      </c>
      <c r="Q68" s="5" t="inlineStr">
        <is>
          <t>待评审</t>
        </is>
      </c>
      <c r="R68" s="17" t="n"/>
    </row>
    <row r="69" ht="29" customHeight="1">
      <c r="A69" s="5" t="inlineStr">
        <is>
          <t>2.4.1</t>
        </is>
      </c>
      <c r="B69" s="17" t="inlineStr">
        <is>
          <t>2-快捷键显示</t>
        </is>
      </c>
      <c r="C69" s="17" t="inlineStr">
        <is>
          <t>2.4 设备自适应显示</t>
        </is>
      </c>
      <c r="D69" s="17" t="inlineStr">
        <is>
          <t>最近输入决定图标体系</t>
        </is>
      </c>
      <c r="E69" s="17" t="inlineStr">
        <is>
          <t>-</t>
        </is>
      </c>
      <c r="F69" s="17" t="inlineStr">
        <is>
          <t>鸣潮:手柄识别自动切图标</t>
        </is>
      </c>
      <c r="G69" s="17" t="inlineStr">
        <is>
          <t>监听I/O,全UI图标体系随最近输入切换</t>
        </is>
      </c>
      <c r="H69" s="5" t="inlineStr">
        <is>
          <t>S9,S22</t>
        </is>
      </c>
      <c r="I69" s="8" t="inlineStr">
        <is>
          <t>P0</t>
        </is>
      </c>
      <c r="J69" s="5" t="inlineStr">
        <is>
          <t>M</t>
        </is>
      </c>
      <c r="K69" s="95" t="n">
        <v>1</v>
      </c>
      <c r="L69" s="95" t="n">
        <v>0</v>
      </c>
      <c r="M69" s="95" t="n">
        <v>4</v>
      </c>
      <c r="N69" s="95" t="n">
        <v>0</v>
      </c>
      <c r="O69" s="95" t="n">
        <v>2</v>
      </c>
      <c r="P69" s="96">
        <f>SUM(K69:O69)</f>
        <v/>
      </c>
      <c r="Q69" s="5" t="inlineStr">
        <is>
          <t>待评审</t>
        </is>
      </c>
      <c r="R69" s="17" t="n"/>
    </row>
    <row r="70" ht="29" customHeight="1">
      <c r="A70" s="5" t="inlineStr">
        <is>
          <t>2.4.2</t>
        </is>
      </c>
      <c r="B70" s="17" t="inlineStr">
        <is>
          <t>2-快捷键显示</t>
        </is>
      </c>
      <c r="C70" s="17" t="inlineStr">
        <is>
          <t>2.4 设备自适应显示</t>
        </is>
      </c>
      <c r="D70" s="17" t="inlineStr">
        <is>
          <t>图标资源体系</t>
        </is>
      </c>
      <c r="E70" s="17" t="inlineStr">
        <is>
          <t>触屏按钮图</t>
        </is>
      </c>
      <c r="F70" s="17" t="inlineStr">
        <is>
          <t>荒野:PS+Xbox双标注</t>
        </is>
      </c>
      <c r="G70" s="17" t="inlineStr">
        <is>
          <t>Xbox+DualSense+键鼠键帽三套图标</t>
        </is>
      </c>
      <c r="H70" s="5" t="inlineStr">
        <is>
          <t>S3,S22</t>
        </is>
      </c>
      <c r="I70" s="8" t="inlineStr">
        <is>
          <t>P0</t>
        </is>
      </c>
      <c r="J70" s="5" t="inlineStr">
        <is>
          <t>L</t>
        </is>
      </c>
      <c r="K70" s="95" t="n">
        <v>2</v>
      </c>
      <c r="L70" s="95" t="n">
        <v>12</v>
      </c>
      <c r="M70" s="95" t="n">
        <v>3</v>
      </c>
      <c r="N70" s="95" t="n">
        <v>0</v>
      </c>
      <c r="O70" s="95" t="n">
        <v>2</v>
      </c>
      <c r="P70" s="96">
        <f>SUM(K70:O70)</f>
        <v/>
      </c>
      <c r="Q70" s="5" t="inlineStr">
        <is>
          <t>待评审</t>
        </is>
      </c>
      <c r="R70" s="17" t="n"/>
    </row>
    <row r="71" ht="29" customHeight="1">
      <c r="A71" s="5" t="inlineStr">
        <is>
          <t>2.4.3</t>
        </is>
      </c>
      <c r="B71" s="17" t="inlineStr">
        <is>
          <t>2-快捷键显示</t>
        </is>
      </c>
      <c r="C71" s="17" t="inlineStr">
        <is>
          <t>2.4 设备自适应显示</t>
        </is>
      </c>
      <c r="D71" s="17" t="inlineStr">
        <is>
          <t>手动覆盖图标样式</t>
        </is>
      </c>
      <c r="E71" s="17" t="inlineStr">
        <is>
          <t>-</t>
        </is>
      </c>
      <c r="F71" s="17" t="inlineStr">
        <is>
          <t>原神:可选手柄按键图标样式</t>
        </is>
      </c>
      <c r="G71" s="17" t="inlineStr">
        <is>
          <t>控制器类型/提示样式手动选择</t>
        </is>
      </c>
      <c r="H71" s="5" t="inlineStr">
        <is>
          <t>S14,S22</t>
        </is>
      </c>
      <c r="I71" s="9" t="inlineStr">
        <is>
          <t>P1</t>
        </is>
      </c>
      <c r="J71" s="5" t="inlineStr">
        <is>
          <t>S</t>
        </is>
      </c>
      <c r="K71" s="95" t="n">
        <v>0.5</v>
      </c>
      <c r="L71" s="95" t="n">
        <v>0.5</v>
      </c>
      <c r="M71" s="95" t="n">
        <v>1</v>
      </c>
      <c r="N71" s="95" t="n">
        <v>0</v>
      </c>
      <c r="O71" s="95" t="n">
        <v>1</v>
      </c>
      <c r="P71" s="96">
        <f>SUM(K71:O71)</f>
        <v/>
      </c>
      <c r="Q71" s="5" t="inlineStr">
        <is>
          <t>待评审</t>
        </is>
      </c>
      <c r="R71" s="17" t="n"/>
    </row>
    <row r="72" ht="29" customHeight="1">
      <c r="A72" s="5" t="inlineStr">
        <is>
          <t>2.4.4</t>
        </is>
      </c>
      <c r="B72" s="17" t="inlineStr">
        <is>
          <t>2-快捷键显示</t>
        </is>
      </c>
      <c r="C72" s="17" t="inlineStr">
        <is>
          <t>2.4 设备自适应显示</t>
        </is>
      </c>
      <c r="D72" s="17" t="inlineStr">
        <is>
          <t>切换过渡</t>
        </is>
      </c>
      <c r="E72" s="17" t="inlineStr">
        <is>
          <t>-</t>
        </is>
      </c>
      <c r="F72" s="17" t="inlineStr">
        <is>
          <t>鸣潮:无缝切换</t>
        </is>
      </c>
      <c r="G72" s="17" t="inlineStr">
        <is>
          <t>静默刷新,不打断战斗</t>
        </is>
      </c>
      <c r="H72" s="5" t="inlineStr">
        <is>
          <t>S9</t>
        </is>
      </c>
      <c r="I72" s="9" t="inlineStr">
        <is>
          <t>P1</t>
        </is>
      </c>
      <c r="J72" s="5" t="inlineStr">
        <is>
          <t>S</t>
        </is>
      </c>
      <c r="K72" s="95" t="n">
        <v>0.5</v>
      </c>
      <c r="L72" s="95" t="n">
        <v>0</v>
      </c>
      <c r="M72" s="95" t="n">
        <v>2</v>
      </c>
      <c r="N72" s="95" t="n">
        <v>0</v>
      </c>
      <c r="O72" s="95" t="n">
        <v>1</v>
      </c>
      <c r="P72" s="96">
        <f>SUM(K72:O72)</f>
        <v/>
      </c>
      <c r="Q72" s="5" t="inlineStr">
        <is>
          <t>待评审</t>
        </is>
      </c>
      <c r="R72" s="17" t="n"/>
    </row>
    <row r="73" ht="29" customHeight="1">
      <c r="A73" s="5" t="inlineStr">
        <is>
          <t>2.4.5</t>
        </is>
      </c>
      <c r="B73" s="17" t="inlineStr">
        <is>
          <t>2-快捷键显示</t>
        </is>
      </c>
      <c r="C73" s="17" t="inlineStr">
        <is>
          <t>2.4 设备自适应显示</t>
        </is>
      </c>
      <c r="D73" s="17" t="inlineStr">
        <is>
          <t>非键鼠输入不显示键鼠图标</t>
        </is>
      </c>
      <c r="E73" s="17" t="inlineStr">
        <is>
          <t>-</t>
        </is>
      </c>
      <c r="F73" s="17" t="inlineStr">
        <is>
          <t>Steam Deck 2.2/2.3:手柄输入时不得出现键鼠图标</t>
        </is>
      </c>
      <c r="G73" s="17" t="inlineStr">
        <is>
          <t>全量排查写死图标</t>
        </is>
      </c>
      <c r="H73" s="5" t="inlineStr">
        <is>
          <t>S17</t>
        </is>
      </c>
      <c r="I73" s="8" t="inlineStr">
        <is>
          <t>P0</t>
        </is>
      </c>
      <c r="J73" s="5" t="inlineStr">
        <is>
          <t>M</t>
        </is>
      </c>
      <c r="K73" s="95" t="n">
        <v>0.5</v>
      </c>
      <c r="L73" s="95" t="n">
        <v>1</v>
      </c>
      <c r="M73" s="95" t="n">
        <v>2</v>
      </c>
      <c r="N73" s="95" t="n">
        <v>0</v>
      </c>
      <c r="O73" s="95" t="n">
        <v>3</v>
      </c>
      <c r="P73" s="96">
        <f>SUM(K73:O73)</f>
        <v/>
      </c>
      <c r="Q73" s="5" t="inlineStr">
        <is>
          <t>待评审</t>
        </is>
      </c>
      <c r="R73" s="17" t="n"/>
    </row>
    <row r="74" ht="29" customHeight="1">
      <c r="A74" s="5" t="inlineStr">
        <is>
          <t>2.4.6</t>
        </is>
      </c>
      <c r="B74" s="17" t="inlineStr">
        <is>
          <t>2-快捷键显示</t>
        </is>
      </c>
      <c r="C74" s="17" t="inlineStr">
        <is>
          <t>2.4 设备自适应显示</t>
        </is>
      </c>
      <c r="D74" s="17" t="inlineStr">
        <is>
          <t>键名本地化与非QWERTY布局</t>
        </is>
      </c>
      <c r="E74" s="17" t="inlineStr">
        <is>
          <t>-</t>
        </is>
      </c>
      <c r="F74" s="17" t="inlineStr">
        <is>
          <t>PC:AZERTY等布局键位字符不同</t>
        </is>
      </c>
      <c r="G74" s="17" t="inlineStr">
        <is>
          <t>按扫描码绑定、显示本地字符;长键名排版</t>
        </is>
      </c>
      <c r="H74" s="5" t="inlineStr">
        <is>
          <t>EXP</t>
        </is>
      </c>
      <c r="I74" s="9" t="inlineStr">
        <is>
          <t>P1</t>
        </is>
      </c>
      <c r="J74" s="5" t="inlineStr">
        <is>
          <t>M</t>
        </is>
      </c>
      <c r="K74" s="95" t="n">
        <v>1</v>
      </c>
      <c r="L74" s="95" t="n">
        <v>2</v>
      </c>
      <c r="M74" s="95" t="n">
        <v>3</v>
      </c>
      <c r="N74" s="95" t="n">
        <v>0</v>
      </c>
      <c r="O74" s="95" t="n">
        <v>2</v>
      </c>
      <c r="P74" s="96">
        <f>SUM(K74:O74)</f>
        <v/>
      </c>
      <c r="Q74" s="5" t="inlineStr">
        <is>
          <t>待评审</t>
        </is>
      </c>
      <c r="R74" s="17" t="n"/>
    </row>
    <row r="75" ht="29" customHeight="1">
      <c r="A75" s="5" t="inlineStr">
        <is>
          <t>2.4.7</t>
        </is>
      </c>
      <c r="B75" s="17" t="inlineStr">
        <is>
          <t>2-快捷键显示</t>
        </is>
      </c>
      <c r="C75" s="17" t="inlineStr">
        <is>
          <t>2.4 设备自适应显示</t>
        </is>
      </c>
      <c r="D75" s="17" t="inlineStr">
        <is>
          <t>组合/长按/连按图标规范</t>
        </is>
      </c>
      <c r="E75" s="17" t="inlineStr">
        <is>
          <t>触屏长按圈</t>
        </is>
      </c>
      <c r="F75" s="17" t="inlineStr">
        <is>
          <t>荒野:△+○组合、长按</t>
        </is>
      </c>
      <c r="G75" s="17" t="inlineStr">
        <is>
          <t>四类图标样式规范</t>
        </is>
      </c>
      <c r="H75" s="5" t="inlineStr">
        <is>
          <t>S3</t>
        </is>
      </c>
      <c r="I75" s="8" t="inlineStr">
        <is>
          <t>P0</t>
        </is>
      </c>
      <c r="J75" s="5" t="inlineStr">
        <is>
          <t>S</t>
        </is>
      </c>
      <c r="K75" s="95" t="n">
        <v>1</v>
      </c>
      <c r="L75" s="95" t="n">
        <v>3</v>
      </c>
      <c r="M75" s="95" t="n">
        <v>1</v>
      </c>
      <c r="N75" s="95" t="n">
        <v>0</v>
      </c>
      <c r="O75" s="95" t="n">
        <v>0.5</v>
      </c>
      <c r="P75" s="96">
        <f>SUM(K75:O75)</f>
        <v/>
      </c>
      <c r="Q75" s="5" t="inlineStr">
        <is>
          <t>待评审</t>
        </is>
      </c>
      <c r="R75" s="17" t="n"/>
    </row>
    <row r="76" ht="29" customHeight="1">
      <c r="A76" s="5" t="inlineStr">
        <is>
          <t>2.4.8</t>
        </is>
      </c>
      <c r="B76" s="17" t="inlineStr">
        <is>
          <t>2-快捷键显示</t>
        </is>
      </c>
      <c r="C76" s="17" t="inlineStr">
        <is>
          <t>2.4 设备自适应显示</t>
        </is>
      </c>
      <c r="D76" s="17" t="inlineStr">
        <is>
          <t>键帽模板化动态生成</t>
        </is>
      </c>
      <c r="E76" s="17" t="inlineStr">
        <is>
          <t>-</t>
        </is>
      </c>
      <c r="F76" s="17" t="inlineStr">
        <is>
          <t>EXP</t>
        </is>
      </c>
      <c r="G76" s="17" t="inlineStr">
        <is>
          <t>九宫格模板+文字生成键帽,免逐键切图</t>
        </is>
      </c>
      <c r="H76" s="5" t="inlineStr">
        <is>
          <t>EXP</t>
        </is>
      </c>
      <c r="I76" s="9" t="inlineStr">
        <is>
          <t>P1</t>
        </is>
      </c>
      <c r="J76" s="5" t="inlineStr">
        <is>
          <t>M</t>
        </is>
      </c>
      <c r="K76" s="95" t="n">
        <v>0.5</v>
      </c>
      <c r="L76" s="95" t="n">
        <v>2</v>
      </c>
      <c r="M76" s="95" t="n">
        <v>3</v>
      </c>
      <c r="N76" s="95" t="n">
        <v>0</v>
      </c>
      <c r="O76" s="95" t="n">
        <v>1</v>
      </c>
      <c r="P76" s="96">
        <f>SUM(K76:O76)</f>
        <v/>
      </c>
      <c r="Q76" s="5" t="inlineStr">
        <is>
          <t>待评审</t>
        </is>
      </c>
      <c r="R76" s="17" t="n"/>
    </row>
    <row r="77" ht="29" customHeight="1">
      <c r="A77" s="5" t="inlineStr">
        <is>
          <t>2.4.9</t>
        </is>
      </c>
      <c r="B77" s="17" t="inlineStr">
        <is>
          <t>2-快捷键显示</t>
        </is>
      </c>
      <c r="C77" s="17" t="inlineStr">
        <is>
          <t>2.4 设备自适应显示</t>
        </is>
      </c>
      <c r="D77" s="17" t="inlineStr">
        <is>
          <t>UI布局模式切换</t>
        </is>
      </c>
      <c r="E77" s="17" t="inlineStr">
        <is>
          <t>-</t>
        </is>
      </c>
      <c r="F77" s="17" t="inlineStr">
        <is>
          <t>绝区零:设置-输入-UI布局手动切键鼠/手柄模式</t>
        </is>
      </c>
      <c r="G77" s="17" t="inlineStr">
        <is>
          <t>自动切换 vs 手动模式,或两者兼有</t>
        </is>
      </c>
      <c r="H77" s="5" t="inlineStr">
        <is>
          <t>S16</t>
        </is>
      </c>
      <c r="I77" s="9" t="inlineStr">
        <is>
          <t>P1</t>
        </is>
      </c>
      <c r="J77" s="5" t="inlineStr">
        <is>
          <t>M</t>
        </is>
      </c>
      <c r="K77" s="95" t="n">
        <v>2</v>
      </c>
      <c r="L77" s="95" t="n">
        <v>3</v>
      </c>
      <c r="M77" s="95" t="n">
        <v>4</v>
      </c>
      <c r="N77" s="95" t="n">
        <v>0</v>
      </c>
      <c r="O77" s="95" t="n">
        <v>2</v>
      </c>
      <c r="P77" s="96">
        <f>SUM(K77:O77)</f>
        <v/>
      </c>
      <c r="Q77" s="5" t="inlineStr">
        <is>
          <t>待评审</t>
        </is>
      </c>
      <c r="R77" s="17" t="inlineStr">
        <is>
          <t>需先做决策</t>
        </is>
      </c>
    </row>
    <row r="78" ht="14.5" customHeight="1">
      <c r="A78" s="5" t="inlineStr">
        <is>
          <t>3.1.1</t>
        </is>
      </c>
      <c r="B78" s="17" t="inlineStr">
        <is>
          <t>3-界面UIUX</t>
        </is>
      </c>
      <c r="C78" s="17" t="inlineStr">
        <is>
          <t>3.1 布局与显示</t>
        </is>
      </c>
      <c r="D78" s="17" t="inlineStr">
        <is>
          <t>横屏布局基线</t>
        </is>
      </c>
      <c r="E78" s="17" t="inlineStr">
        <is>
          <t>手机持机</t>
        </is>
      </c>
      <c r="F78" s="17" t="inlineStr">
        <is>
          <t>PC横屏</t>
        </is>
      </c>
      <c r="G78" s="17" t="inlineStr">
        <is>
          <t>确定PC布局基线</t>
        </is>
      </c>
      <c r="H78" s="5" t="inlineStr">
        <is>
          <t>EXP</t>
        </is>
      </c>
      <c r="I78" s="8" t="inlineStr">
        <is>
          <t>P0</t>
        </is>
      </c>
      <c r="J78" s="5" t="inlineStr">
        <is>
          <t>S</t>
        </is>
      </c>
      <c r="K78" s="95" t="n">
        <v>2</v>
      </c>
      <c r="L78" s="95" t="n">
        <v>2</v>
      </c>
      <c r="M78" s="95" t="n">
        <v>1</v>
      </c>
      <c r="N78" s="95" t="n">
        <v>0</v>
      </c>
      <c r="O78" s="95" t="n">
        <v>0.5</v>
      </c>
      <c r="P78" s="96">
        <f>SUM(K78:O78)</f>
        <v/>
      </c>
      <c r="Q78" s="5" t="inlineStr">
        <is>
          <t>待评审</t>
        </is>
      </c>
      <c r="R78" s="17" t="n"/>
    </row>
    <row r="79" ht="14.5" customHeight="1">
      <c r="A79" s="5" t="inlineStr">
        <is>
          <t>3.1.2</t>
        </is>
      </c>
      <c r="B79" s="17" t="inlineStr">
        <is>
          <t>3-界面UIUX</t>
        </is>
      </c>
      <c r="C79" s="17" t="inlineStr">
        <is>
          <t>3.1 布局与显示</t>
        </is>
      </c>
      <c r="D79" s="17" t="inlineStr">
        <is>
          <t>多分辨率/超宽屏</t>
        </is>
      </c>
      <c r="E79" s="17" t="inlineStr">
        <is>
          <t>手机固定分辨率</t>
        </is>
      </c>
      <c r="F79" s="17" t="inlineStr">
        <is>
          <t>荒野/鸣潮:支持超宽屏</t>
        </is>
      </c>
      <c r="G79" s="17" t="inlineStr">
        <is>
          <t>多分辨率与安全区适配</t>
        </is>
      </c>
      <c r="H79" s="5" t="inlineStr">
        <is>
          <t>S5</t>
        </is>
      </c>
      <c r="I79" s="8" t="inlineStr">
        <is>
          <t>P0</t>
        </is>
      </c>
      <c r="J79" s="5" t="inlineStr">
        <is>
          <t>L</t>
        </is>
      </c>
      <c r="K79" s="95" t="n">
        <v>1</v>
      </c>
      <c r="L79" s="95" t="n">
        <v>4</v>
      </c>
      <c r="M79" s="95" t="n">
        <v>8</v>
      </c>
      <c r="N79" s="95" t="n">
        <v>0</v>
      </c>
      <c r="O79" s="95" t="n">
        <v>4</v>
      </c>
      <c r="P79" s="96">
        <f>SUM(K79:O79)</f>
        <v/>
      </c>
      <c r="Q79" s="5" t="inlineStr">
        <is>
          <t>待评审</t>
        </is>
      </c>
      <c r="R79" s="17" t="n"/>
    </row>
    <row r="80" ht="14.5" customHeight="1">
      <c r="A80" s="5" t="inlineStr">
        <is>
          <t>3.1.3</t>
        </is>
      </c>
      <c r="B80" s="17" t="inlineStr">
        <is>
          <t>3-界面UIUX</t>
        </is>
      </c>
      <c r="C80" s="17" t="inlineStr">
        <is>
          <t>3.1 布局与显示</t>
        </is>
      </c>
      <c r="D80" s="17" t="inlineStr">
        <is>
          <t>UI缩放</t>
        </is>
      </c>
      <c r="E80" s="17" t="inlineStr">
        <is>
          <t>手机固定</t>
        </is>
      </c>
      <c r="F80" s="17" t="inlineStr">
        <is>
          <t>鸣潮手机:按键透明度/大小</t>
        </is>
      </c>
      <c r="G80" s="17" t="inlineStr">
        <is>
          <t>UI缩放、HUD大小、透明度</t>
        </is>
      </c>
      <c r="H80" s="5" t="inlineStr">
        <is>
          <t>S6</t>
        </is>
      </c>
      <c r="I80" s="9" t="inlineStr">
        <is>
          <t>P1</t>
        </is>
      </c>
      <c r="J80" s="5" t="inlineStr">
        <is>
          <t>M</t>
        </is>
      </c>
      <c r="K80" s="95" t="n">
        <v>1</v>
      </c>
      <c r="L80" s="95" t="n">
        <v>1</v>
      </c>
      <c r="M80" s="95" t="n">
        <v>4</v>
      </c>
      <c r="N80" s="95" t="n">
        <v>0</v>
      </c>
      <c r="O80" s="95" t="n">
        <v>2</v>
      </c>
      <c r="P80" s="96">
        <f>SUM(K80:O80)</f>
        <v/>
      </c>
      <c r="Q80" s="5" t="inlineStr">
        <is>
          <t>待评审</t>
        </is>
      </c>
      <c r="R80" s="17" t="n"/>
    </row>
    <row r="81" ht="29" customHeight="1">
      <c r="A81" s="5" t="inlineStr">
        <is>
          <t>3.1.4</t>
        </is>
      </c>
      <c r="B81" s="17" t="inlineStr">
        <is>
          <t>3-界面UIUX</t>
        </is>
      </c>
      <c r="C81" s="17" t="inlineStr">
        <is>
          <t>3.1 布局与显示</t>
        </is>
      </c>
      <c r="D81" s="17" t="inlineStr">
        <is>
          <t>状态栏位置</t>
        </is>
      </c>
      <c r="E81" s="17" t="inlineStr">
        <is>
          <t>旅人:体力/耐力/道具放角色附近</t>
        </is>
      </c>
      <c r="F81" s="17" t="inlineStr">
        <is>
          <t>荒野PC:左上角固定</t>
        </is>
      </c>
      <c r="G81" s="17" t="inlineStr">
        <is>
          <t>固定角 vs 环绕角色决策</t>
        </is>
      </c>
      <c r="H81" s="5" t="inlineStr">
        <is>
          <t>S1</t>
        </is>
      </c>
      <c r="I81" s="8" t="inlineStr">
        <is>
          <t>P0</t>
        </is>
      </c>
      <c r="J81" s="5" t="inlineStr">
        <is>
          <t>S</t>
        </is>
      </c>
      <c r="K81" s="95" t="n">
        <v>2</v>
      </c>
      <c r="L81" s="95" t="n">
        <v>2</v>
      </c>
      <c r="M81" s="95" t="n">
        <v>1</v>
      </c>
      <c r="N81" s="95" t="n">
        <v>0</v>
      </c>
      <c r="O81" s="95" t="n">
        <v>0.5</v>
      </c>
      <c r="P81" s="96">
        <f>SUM(K81:O81)</f>
        <v/>
      </c>
      <c r="Q81" s="5" t="inlineStr">
        <is>
          <t>待评审</t>
        </is>
      </c>
      <c r="R81" s="17" t="n"/>
    </row>
    <row r="82" ht="14.5" customHeight="1">
      <c r="A82" s="5" t="inlineStr">
        <is>
          <t>3.1.5</t>
        </is>
      </c>
      <c r="B82" s="17" t="inlineStr">
        <is>
          <t>3-界面UIUX</t>
        </is>
      </c>
      <c r="C82" s="17" t="inlineStr">
        <is>
          <t>3.1 布局与显示</t>
        </is>
      </c>
      <c r="D82" s="17" t="inlineStr">
        <is>
          <t>窗口模式</t>
        </is>
      </c>
      <c r="E82" s="17" t="inlineStr">
        <is>
          <t>无</t>
        </is>
      </c>
      <c r="F82" s="17" t="inlineStr">
        <is>
          <t>原神:窗口/全屏多分辨率</t>
        </is>
      </c>
      <c r="G82" s="17" t="inlineStr">
        <is>
          <t>全屏/无边框/窗口+拖拽缩放重排</t>
        </is>
      </c>
      <c r="H82" s="5" t="inlineStr">
        <is>
          <t>S14</t>
        </is>
      </c>
      <c r="I82" s="8" t="inlineStr">
        <is>
          <t>P0</t>
        </is>
      </c>
      <c r="J82" s="5" t="inlineStr">
        <is>
          <t>M</t>
        </is>
      </c>
      <c r="K82" s="95" t="n">
        <v>0.5</v>
      </c>
      <c r="L82" s="95" t="n">
        <v>0</v>
      </c>
      <c r="M82" s="95" t="n">
        <v>5</v>
      </c>
      <c r="N82" s="95" t="n">
        <v>1</v>
      </c>
      <c r="O82" s="95" t="n">
        <v>3</v>
      </c>
      <c r="P82" s="96">
        <f>SUM(K82:O82)</f>
        <v/>
      </c>
      <c r="Q82" s="5" t="inlineStr">
        <is>
          <t>待评审</t>
        </is>
      </c>
      <c r="R82" s="17" t="n"/>
    </row>
    <row r="83" ht="14.5" customHeight="1">
      <c r="A83" s="5" t="inlineStr">
        <is>
          <t>3.1.6</t>
        </is>
      </c>
      <c r="B83" s="17" t="inlineStr">
        <is>
          <t>3-界面UIUX</t>
        </is>
      </c>
      <c r="C83" s="17" t="inlineStr">
        <is>
          <t>3.1 布局与显示</t>
        </is>
      </c>
      <c r="D83" s="17" t="inlineStr">
        <is>
          <t>多显示器/刷新率</t>
        </is>
      </c>
      <c r="E83" s="17" t="inlineStr">
        <is>
          <t>无</t>
        </is>
      </c>
      <c r="F83" s="17" t="inlineStr">
        <is>
          <t>鸣潮:显示设备智能切换</t>
        </is>
      </c>
      <c r="G83" s="17" t="inlineStr">
        <is>
          <t>显示器与刷新率选择</t>
        </is>
      </c>
      <c r="H83" s="5" t="inlineStr">
        <is>
          <t>S10</t>
        </is>
      </c>
      <c r="I83" s="10" t="inlineStr">
        <is>
          <t>P2</t>
        </is>
      </c>
      <c r="J83" s="5" t="inlineStr">
        <is>
          <t>S</t>
        </is>
      </c>
      <c r="K83" s="95" t="n">
        <v>0.5</v>
      </c>
      <c r="L83" s="95" t="n">
        <v>0</v>
      </c>
      <c r="M83" s="95" t="n">
        <v>2</v>
      </c>
      <c r="N83" s="95" t="n">
        <v>0</v>
      </c>
      <c r="O83" s="95" t="n">
        <v>1</v>
      </c>
      <c r="P83" s="96">
        <f>SUM(K83:O83)</f>
        <v/>
      </c>
      <c r="Q83" s="5" t="inlineStr">
        <is>
          <t>待评审</t>
        </is>
      </c>
      <c r="R83" s="17" t="n"/>
    </row>
    <row r="84" ht="29" customHeight="1">
      <c r="A84" s="5" t="inlineStr">
        <is>
          <t>3.1.7</t>
        </is>
      </c>
      <c r="B84" s="17" t="inlineStr">
        <is>
          <t>3-界面UIUX</t>
        </is>
      </c>
      <c r="C84" s="17" t="inlineStr">
        <is>
          <t>3.1 布局与显示</t>
        </is>
      </c>
      <c r="D84" s="17" t="inlineStr">
        <is>
          <t>字号可读性与调节</t>
        </is>
      </c>
      <c r="E84" s="17" t="inlineStr">
        <is>
          <t>手机近距离</t>
        </is>
      </c>
      <c r="F84" s="17" t="inlineStr">
        <is>
          <t>Steam Deck:最小字高≥9px@800p,建议≥12px并支持自定义</t>
        </is>
      </c>
      <c r="G84" s="17" t="inlineStr">
        <is>
          <t>最小字号规范+字号调节</t>
        </is>
      </c>
      <c r="H84" s="5" t="inlineStr">
        <is>
          <t>S17,S18</t>
        </is>
      </c>
      <c r="I84" s="9" t="inlineStr">
        <is>
          <t>P1</t>
        </is>
      </c>
      <c r="J84" s="5" t="inlineStr">
        <is>
          <t>M</t>
        </is>
      </c>
      <c r="K84" s="95" t="n">
        <v>1</v>
      </c>
      <c r="L84" s="95" t="n">
        <v>3</v>
      </c>
      <c r="M84" s="95" t="n">
        <v>3</v>
      </c>
      <c r="N84" s="95" t="n">
        <v>0</v>
      </c>
      <c r="O84" s="95" t="n">
        <v>1</v>
      </c>
      <c r="P84" s="96">
        <f>SUM(K84:O84)</f>
        <v/>
      </c>
      <c r="Q84" s="5" t="inlineStr">
        <is>
          <t>待评审</t>
        </is>
      </c>
      <c r="R84" s="17" t="n"/>
    </row>
    <row r="85" ht="14.5" customHeight="1">
      <c r="A85" s="5" t="inlineStr">
        <is>
          <t>3.1.8</t>
        </is>
      </c>
      <c r="B85" s="17" t="inlineStr">
        <is>
          <t>3-界面UIUX</t>
        </is>
      </c>
      <c r="C85" s="17" t="inlineStr">
        <is>
          <t>3.1 布局与显示</t>
        </is>
      </c>
      <c r="D85" s="17" t="inlineStr">
        <is>
          <t>UI资源高清化</t>
        </is>
      </c>
      <c r="E85" s="17" t="inlineStr">
        <is>
          <t>手机分辨率资源</t>
        </is>
      </c>
      <c r="F85" s="17" t="inlineStr">
        <is>
          <t>PC大屏2K/4K</t>
        </is>
      </c>
      <c r="G85" s="17" t="inlineStr">
        <is>
          <t>关键UI/图标/字体图集重出或矢量化</t>
        </is>
      </c>
      <c r="H85" s="5" t="inlineStr">
        <is>
          <t>EXP</t>
        </is>
      </c>
      <c r="I85" s="9" t="inlineStr">
        <is>
          <t>P1</t>
        </is>
      </c>
      <c r="J85" s="5" t="inlineStr">
        <is>
          <t>L</t>
        </is>
      </c>
      <c r="K85" s="95" t="n">
        <v>0</v>
      </c>
      <c r="L85" s="95" t="n">
        <v>15</v>
      </c>
      <c r="M85" s="95" t="n">
        <v>2</v>
      </c>
      <c r="N85" s="95" t="n">
        <v>2</v>
      </c>
      <c r="O85" s="95" t="n">
        <v>1</v>
      </c>
      <c r="P85" s="96">
        <f>SUM(K85:O85)</f>
        <v/>
      </c>
      <c r="Q85" s="5" t="inlineStr">
        <is>
          <t>待评审</t>
        </is>
      </c>
      <c r="R85" s="17" t="n"/>
    </row>
    <row r="86" ht="14.5" customHeight="1">
      <c r="A86" s="5" t="inlineStr">
        <is>
          <t>3.2.1</t>
        </is>
      </c>
      <c r="B86" s="17" t="inlineStr">
        <is>
          <t>3-界面UIUX</t>
        </is>
      </c>
      <c r="C86" s="17" t="inlineStr">
        <is>
          <t>3.2 HUD重排</t>
        </is>
      </c>
      <c r="D86" s="17" t="inlineStr">
        <is>
          <t>键位提示与按钮分离</t>
        </is>
      </c>
      <c r="E86" s="17" t="inlineStr">
        <is>
          <t>触屏键位即按钮</t>
        </is>
      </c>
      <c r="F86" s="17" t="inlineStr">
        <is>
          <t>-</t>
        </is>
      </c>
      <c r="G86" s="17" t="inlineStr">
        <is>
          <t>提示跟随输入设备,与技能按钮分离</t>
        </is>
      </c>
      <c r="H86" s="5" t="inlineStr">
        <is>
          <t>EXP</t>
        </is>
      </c>
      <c r="I86" s="8" t="inlineStr">
        <is>
          <t>P0</t>
        </is>
      </c>
      <c r="J86" s="5" t="inlineStr">
        <is>
          <t>M</t>
        </is>
      </c>
      <c r="K86" s="95" t="n">
        <v>2</v>
      </c>
      <c r="L86" s="95" t="n">
        <v>4</v>
      </c>
      <c r="M86" s="95" t="n">
        <v>3</v>
      </c>
      <c r="N86" s="95" t="n">
        <v>0</v>
      </c>
      <c r="O86" s="95" t="n">
        <v>1</v>
      </c>
      <c r="P86" s="96">
        <f>SUM(K86:O86)</f>
        <v/>
      </c>
      <c r="Q86" s="5" t="inlineStr">
        <is>
          <t>待评审</t>
        </is>
      </c>
      <c r="R86" s="17" t="n"/>
    </row>
    <row r="87" ht="14.5" customHeight="1">
      <c r="A87" s="5" t="inlineStr">
        <is>
          <t>3.2.2</t>
        </is>
      </c>
      <c r="B87" s="17" t="inlineStr">
        <is>
          <t>3-界面UIUX</t>
        </is>
      </c>
      <c r="C87" s="17" t="inlineStr">
        <is>
          <t>3.2 HUD重排</t>
        </is>
      </c>
      <c r="D87" s="17" t="inlineStr">
        <is>
          <t>技能按钮去交互化</t>
        </is>
      </c>
      <c r="E87" s="17" t="inlineStr">
        <is>
          <t>触屏技能键可点</t>
        </is>
      </c>
      <c r="F87" s="17" t="inlineStr">
        <is>
          <t>-</t>
        </is>
      </c>
      <c r="G87" s="17" t="inlineStr">
        <is>
          <t>PC端技能图标仅作提示</t>
        </is>
      </c>
      <c r="H87" s="5" t="inlineStr">
        <is>
          <t>EXP</t>
        </is>
      </c>
      <c r="I87" s="8" t="inlineStr">
        <is>
          <t>P0</t>
        </is>
      </c>
      <c r="J87" s="5" t="inlineStr">
        <is>
          <t>S</t>
        </is>
      </c>
      <c r="K87" s="95" t="n">
        <v>1</v>
      </c>
      <c r="L87" s="95" t="n">
        <v>1</v>
      </c>
      <c r="M87" s="95" t="n">
        <v>2</v>
      </c>
      <c r="N87" s="95" t="n">
        <v>0</v>
      </c>
      <c r="O87" s="95" t="n">
        <v>1</v>
      </c>
      <c r="P87" s="96">
        <f>SUM(K87:O87)</f>
        <v/>
      </c>
      <c r="Q87" s="5" t="inlineStr">
        <is>
          <t>待评审</t>
        </is>
      </c>
      <c r="R87" s="17" t="n"/>
    </row>
    <row r="88" ht="14.5" customHeight="1">
      <c r="A88" s="5" t="inlineStr">
        <is>
          <t>3.2.3</t>
        </is>
      </c>
      <c r="B88" s="17" t="inlineStr">
        <is>
          <t>3-界面UIUX</t>
        </is>
      </c>
      <c r="C88" s="17" t="inlineStr">
        <is>
          <t>3.2 HUD重排</t>
        </is>
      </c>
      <c r="D88" s="17" t="inlineStr">
        <is>
          <t>快捷栏布局</t>
        </is>
      </c>
      <c r="E88" s="17" t="inlineStr">
        <is>
          <t>触屏快捷轮盘</t>
        </is>
      </c>
      <c r="F88" s="17" t="inlineStr">
        <is>
          <t>荒野:快捷盘+数字栏位</t>
        </is>
      </c>
      <c r="G88" s="17" t="inlineStr">
        <is>
          <t>横向栏位+F区切换</t>
        </is>
      </c>
      <c r="H88" s="5" t="inlineStr">
        <is>
          <t>S3</t>
        </is>
      </c>
      <c r="I88" s="9" t="inlineStr">
        <is>
          <t>P1</t>
        </is>
      </c>
      <c r="J88" s="5" t="inlineStr">
        <is>
          <t>M</t>
        </is>
      </c>
      <c r="K88" s="95" t="n">
        <v>1</v>
      </c>
      <c r="L88" s="95" t="n">
        <v>3</v>
      </c>
      <c r="M88" s="95" t="n">
        <v>3</v>
      </c>
      <c r="N88" s="95" t="n">
        <v>0</v>
      </c>
      <c r="O88" s="95" t="n">
        <v>1</v>
      </c>
      <c r="P88" s="96">
        <f>SUM(K88:O88)</f>
        <v/>
      </c>
      <c r="Q88" s="5" t="inlineStr">
        <is>
          <t>待评审</t>
        </is>
      </c>
      <c r="R88" s="17" t="n"/>
    </row>
    <row r="89" ht="29" customHeight="1">
      <c r="A89" s="5" t="inlineStr">
        <is>
          <t>3.2.4</t>
        </is>
      </c>
      <c r="B89" s="17" t="inlineStr">
        <is>
          <t>3-界面UIUX</t>
        </is>
      </c>
      <c r="C89" s="17" t="inlineStr">
        <is>
          <t>3.2 HUD重排</t>
        </is>
      </c>
      <c r="D89" s="17" t="inlineStr">
        <is>
          <t>大屏信息密度重排</t>
        </is>
      </c>
      <c r="E89" s="17" t="inlineStr">
        <is>
          <t>手游UI简化</t>
        </is>
      </c>
      <c r="F89" s="17" t="inlineStr">
        <is>
          <t>值得买:PC槽点'UI为兼容手机简化,大屏空旷'</t>
        </is>
      </c>
      <c r="G89" s="17" t="inlineStr">
        <is>
          <t>主要界面按大屏重排</t>
        </is>
      </c>
      <c r="H89" s="5" t="inlineStr">
        <is>
          <t>S20</t>
        </is>
      </c>
      <c r="I89" s="9" t="inlineStr">
        <is>
          <t>P1</t>
        </is>
      </c>
      <c r="J89" s="5" t="inlineStr">
        <is>
          <t>XL</t>
        </is>
      </c>
      <c r="K89" s="95" t="n">
        <v>5</v>
      </c>
      <c r="L89" s="95">
        <f>假设参数!$B$2*假设参数!$B$8</f>
        <v/>
      </c>
      <c r="M89" s="95">
        <f>假设参数!$B$2*假设参数!$B$9</f>
        <v/>
      </c>
      <c r="N89" s="95" t="n">
        <v>0</v>
      </c>
      <c r="O89" s="95" t="n">
        <v>5</v>
      </c>
      <c r="P89" s="96">
        <f>SUM(K89:O89)</f>
        <v/>
      </c>
      <c r="Q89" s="5" t="inlineStr">
        <is>
          <t>待评审</t>
        </is>
      </c>
      <c r="R89" s="17" t="inlineStr">
        <is>
          <t>随界面数线性增长</t>
        </is>
      </c>
    </row>
    <row r="90" ht="14.5" customHeight="1">
      <c r="A90" s="5" t="inlineStr">
        <is>
          <t>3.2.5</t>
        </is>
      </c>
      <c r="B90" s="17" t="inlineStr">
        <is>
          <t>3-界面UIUX</t>
        </is>
      </c>
      <c r="C90" s="17" t="inlineStr">
        <is>
          <t>3.2 HUD重排</t>
        </is>
      </c>
      <c r="D90" s="17" t="inlineStr">
        <is>
          <t>触屏专属元素隐藏</t>
        </is>
      </c>
      <c r="E90" s="17" t="inlineStr">
        <is>
          <t>虚拟摇杆/按钮圈</t>
        </is>
      </c>
      <c r="F90" s="17" t="inlineStr">
        <is>
          <t>PC无</t>
        </is>
      </c>
      <c r="G90" s="17" t="inlineStr">
        <is>
          <t>键鼠/手柄模式隐藏触屏元素</t>
        </is>
      </c>
      <c r="H90" s="5" t="inlineStr">
        <is>
          <t>EXP</t>
        </is>
      </c>
      <c r="I90" s="8" t="inlineStr">
        <is>
          <t>P0</t>
        </is>
      </c>
      <c r="J90" s="5" t="inlineStr">
        <is>
          <t>S</t>
        </is>
      </c>
      <c r="K90" s="95" t="n">
        <v>0.5</v>
      </c>
      <c r="L90" s="95" t="n">
        <v>0</v>
      </c>
      <c r="M90" s="95" t="n">
        <v>2</v>
      </c>
      <c r="N90" s="95" t="n">
        <v>0</v>
      </c>
      <c r="O90" s="95" t="n">
        <v>1</v>
      </c>
      <c r="P90" s="96">
        <f>SUM(K90:O90)</f>
        <v/>
      </c>
      <c r="Q90" s="5" t="inlineStr">
        <is>
          <t>待评审</t>
        </is>
      </c>
      <c r="R90" s="17" t="n"/>
    </row>
    <row r="91" ht="14.5" customHeight="1">
      <c r="A91" s="5" t="inlineStr">
        <is>
          <t>3.2.6</t>
        </is>
      </c>
      <c r="B91" s="17" t="inlineStr">
        <is>
          <t>3-界面UIUX</t>
        </is>
      </c>
      <c r="C91" s="17" t="inlineStr">
        <is>
          <t>3.2 HUD重排</t>
        </is>
      </c>
      <c r="D91" s="17" t="inlineStr">
        <is>
          <t>刘海/安全区逻辑</t>
        </is>
      </c>
      <c r="E91" s="17" t="inlineStr">
        <is>
          <t>刘海屏安全区</t>
        </is>
      </c>
      <c r="F91" s="17" t="inlineStr">
        <is>
          <t>PC</t>
        </is>
      </c>
      <c r="G91" s="17" t="inlineStr">
        <is>
          <t>替换为PC安全区</t>
        </is>
      </c>
      <c r="H91" s="5" t="inlineStr">
        <is>
          <t>EXP</t>
        </is>
      </c>
      <c r="I91" s="10" t="inlineStr">
        <is>
          <t>P2</t>
        </is>
      </c>
      <c r="J91" s="5" t="inlineStr">
        <is>
          <t>S</t>
        </is>
      </c>
      <c r="K91" s="95" t="n">
        <v>0</v>
      </c>
      <c r="L91" s="95" t="n">
        <v>0.5</v>
      </c>
      <c r="M91" s="95" t="n">
        <v>1</v>
      </c>
      <c r="N91" s="95" t="n">
        <v>0</v>
      </c>
      <c r="O91" s="95" t="n">
        <v>0.5</v>
      </c>
      <c r="P91" s="96">
        <f>SUM(K91:O91)</f>
        <v/>
      </c>
      <c r="Q91" s="5" t="inlineStr">
        <is>
          <t>待评审</t>
        </is>
      </c>
      <c r="R91" s="17" t="n"/>
    </row>
    <row r="92" ht="14.5" customHeight="1">
      <c r="A92" s="5" t="inlineStr">
        <is>
          <t>3.3.1</t>
        </is>
      </c>
      <c r="B92" s="17" t="inlineStr">
        <is>
          <t>3-界面UIUX</t>
        </is>
      </c>
      <c r="C92" s="17" t="inlineStr">
        <is>
          <t>3.3 鼠标态交互</t>
        </is>
      </c>
      <c r="D92" s="17" t="inlineStr">
        <is>
          <t>悬停高亮/tooltip</t>
        </is>
      </c>
      <c r="E92" s="17" t="inlineStr">
        <is>
          <t>无悬停</t>
        </is>
      </c>
      <c r="F92" s="17" t="inlineStr">
        <is>
          <t>荒野/鸣潮:悬停tooltip</t>
        </is>
      </c>
      <c r="G92" s="17" t="inlineStr">
        <is>
          <t>所有可交互项支持悬停</t>
        </is>
      </c>
      <c r="H92" s="5" t="inlineStr">
        <is>
          <t>EXP</t>
        </is>
      </c>
      <c r="I92" s="9" t="inlineStr">
        <is>
          <t>P1</t>
        </is>
      </c>
      <c r="J92" s="5" t="inlineStr">
        <is>
          <t>L</t>
        </is>
      </c>
      <c r="K92" s="95" t="n">
        <v>1</v>
      </c>
      <c r="L92" s="95" t="n">
        <v>3</v>
      </c>
      <c r="M92" s="95">
        <f>假设参数!$B$2*假设参数!$B$5</f>
        <v/>
      </c>
      <c r="N92" s="95" t="n">
        <v>0</v>
      </c>
      <c r="O92" s="95" t="n">
        <v>3</v>
      </c>
      <c r="P92" s="96">
        <f>SUM(K92:O92)</f>
        <v/>
      </c>
      <c r="Q92" s="5" t="inlineStr">
        <is>
          <t>待评审</t>
        </is>
      </c>
      <c r="R92" s="17" t="inlineStr">
        <is>
          <t>随界面数线性增长</t>
        </is>
      </c>
    </row>
    <row r="93" ht="14.5" customHeight="1">
      <c r="A93" s="5" t="inlineStr">
        <is>
          <t>3.3.2</t>
        </is>
      </c>
      <c r="B93" s="17" t="inlineStr">
        <is>
          <t>3-界面UIUX</t>
        </is>
      </c>
      <c r="C93" s="17" t="inlineStr">
        <is>
          <t>3.3 鼠标态交互</t>
        </is>
      </c>
      <c r="D93" s="17" t="inlineStr">
        <is>
          <t>右键返回</t>
        </is>
      </c>
      <c r="E93" s="17" t="inlineStr">
        <is>
          <t>触屏返回按钮</t>
        </is>
      </c>
      <c r="F93" s="17" t="inlineStr">
        <is>
          <t>荒野:菜单内右键返回</t>
        </is>
      </c>
      <c r="G93" s="17" t="inlineStr">
        <is>
          <t>菜单内右键=返回,与战斗右键区分</t>
        </is>
      </c>
      <c r="H93" s="5" t="inlineStr">
        <is>
          <t>S3</t>
        </is>
      </c>
      <c r="I93" s="8" t="inlineStr">
        <is>
          <t>P0</t>
        </is>
      </c>
      <c r="J93" s="5" t="inlineStr">
        <is>
          <t>S</t>
        </is>
      </c>
      <c r="K93" s="95" t="n">
        <v>1</v>
      </c>
      <c r="L93" s="95" t="n">
        <v>0</v>
      </c>
      <c r="M93" s="95" t="n">
        <v>2</v>
      </c>
      <c r="N93" s="95" t="n">
        <v>0</v>
      </c>
      <c r="O93" s="95" t="n">
        <v>1</v>
      </c>
      <c r="P93" s="96">
        <f>SUM(K93:O93)</f>
        <v/>
      </c>
      <c r="Q93" s="5" t="inlineStr">
        <is>
          <t>待评审</t>
        </is>
      </c>
      <c r="R93" s="17" t="n"/>
    </row>
    <row r="94" ht="14.5" customHeight="1">
      <c r="A94" s="5" t="inlineStr">
        <is>
          <t>3.3.3</t>
        </is>
      </c>
      <c r="B94" s="17" t="inlineStr">
        <is>
          <t>3-界面UIUX</t>
        </is>
      </c>
      <c r="C94" s="17" t="inlineStr">
        <is>
          <t>3.3 鼠标态交互</t>
        </is>
      </c>
      <c r="D94" s="17" t="inlineStr">
        <is>
          <t>滚轮滚动/缩放</t>
        </is>
      </c>
      <c r="E94" s="17" t="inlineStr">
        <is>
          <t>惯性滑动</t>
        </is>
      </c>
      <c r="F94" s="17" t="inlineStr">
        <is>
          <t>PC惯例</t>
        </is>
      </c>
      <c r="G94" s="17" t="inlineStr">
        <is>
          <t>列表滚动/地图缩放统一</t>
        </is>
      </c>
      <c r="H94" s="5" t="inlineStr">
        <is>
          <t>EXP</t>
        </is>
      </c>
      <c r="I94" s="9" t="inlineStr">
        <is>
          <t>P1</t>
        </is>
      </c>
      <c r="J94" s="5" t="inlineStr">
        <is>
          <t>S</t>
        </is>
      </c>
      <c r="K94" s="95" t="n">
        <v>0.5</v>
      </c>
      <c r="L94" s="95" t="n">
        <v>0</v>
      </c>
      <c r="M94" s="95" t="n">
        <v>2</v>
      </c>
      <c r="N94" s="95" t="n">
        <v>0</v>
      </c>
      <c r="O94" s="95" t="n">
        <v>1</v>
      </c>
      <c r="P94" s="96">
        <f>SUM(K94:O94)</f>
        <v/>
      </c>
      <c r="Q94" s="5" t="inlineStr">
        <is>
          <t>待评审</t>
        </is>
      </c>
      <c r="R94" s="17" t="n"/>
    </row>
    <row r="95" ht="14.5" customHeight="1">
      <c r="A95" s="5" t="inlineStr">
        <is>
          <t>3.3.4</t>
        </is>
      </c>
      <c r="B95" s="17" t="inlineStr">
        <is>
          <t>3-界面UIUX</t>
        </is>
      </c>
      <c r="C95" s="17" t="inlineStr">
        <is>
          <t>3.3 鼠标态交互</t>
        </is>
      </c>
      <c r="D95" s="17" t="inlineStr">
        <is>
          <t>点击热区/光标样式</t>
        </is>
      </c>
      <c r="E95" s="17" t="inlineStr">
        <is>
          <t>触屏大按钮</t>
        </is>
      </c>
      <c r="F95" s="17" t="inlineStr">
        <is>
          <t>PC</t>
        </is>
      </c>
      <c r="G95" s="17" t="inlineStr">
        <is>
          <t>热区、命中反馈、光标样式</t>
        </is>
      </c>
      <c r="H95" s="5" t="inlineStr">
        <is>
          <t>EXP</t>
        </is>
      </c>
      <c r="I95" s="9" t="inlineStr">
        <is>
          <t>P1</t>
        </is>
      </c>
      <c r="J95" s="5" t="inlineStr">
        <is>
          <t>M</t>
        </is>
      </c>
      <c r="K95" s="95" t="n">
        <v>1</v>
      </c>
      <c r="L95" s="95" t="n">
        <v>2</v>
      </c>
      <c r="M95" s="95" t="n">
        <v>2</v>
      </c>
      <c r="N95" s="95" t="n">
        <v>0</v>
      </c>
      <c r="O95" s="95" t="n">
        <v>1</v>
      </c>
      <c r="P95" s="96">
        <f>SUM(K95:O95)</f>
        <v/>
      </c>
      <c r="Q95" s="5" t="inlineStr">
        <is>
          <t>待评审</t>
        </is>
      </c>
      <c r="R95" s="17" t="n"/>
    </row>
    <row r="96" ht="14.5" customHeight="1">
      <c r="A96" s="5" t="inlineStr">
        <is>
          <t>3.3.5</t>
        </is>
      </c>
      <c r="B96" s="17" t="inlineStr">
        <is>
          <t>3-界面UIUX</t>
        </is>
      </c>
      <c r="C96" s="17" t="inlineStr">
        <is>
          <t>3.3 鼠标态交互</t>
        </is>
      </c>
      <c r="D96" s="17" t="inlineStr">
        <is>
          <t>拖拽</t>
        </is>
      </c>
      <c r="E96" s="17" t="inlineStr">
        <is>
          <t>触屏拖拽</t>
        </is>
      </c>
      <c r="F96" s="17" t="inlineStr">
        <is>
          <t>PC</t>
        </is>
      </c>
      <c r="G96" s="17" t="inlineStr">
        <is>
          <t>地图/建造摆放/背包拖拽</t>
        </is>
      </c>
      <c r="H96" s="5" t="inlineStr">
        <is>
          <t>EXP</t>
        </is>
      </c>
      <c r="I96" s="10" t="inlineStr">
        <is>
          <t>P2</t>
        </is>
      </c>
      <c r="J96" s="5" t="inlineStr">
        <is>
          <t>M</t>
        </is>
      </c>
      <c r="K96" s="95" t="n">
        <v>1</v>
      </c>
      <c r="L96" s="95" t="n">
        <v>1</v>
      </c>
      <c r="M96" s="95" t="n">
        <v>4</v>
      </c>
      <c r="N96" s="95" t="n">
        <v>0</v>
      </c>
      <c r="O96" s="95" t="n">
        <v>2</v>
      </c>
      <c r="P96" s="96">
        <f>SUM(K96:O96)</f>
        <v/>
      </c>
      <c r="Q96" s="5" t="inlineStr">
        <is>
          <t>待评审</t>
        </is>
      </c>
      <c r="R96" s="17" t="n"/>
    </row>
    <row r="97" ht="14.5" customHeight="1">
      <c r="A97" s="5" t="inlineStr">
        <is>
          <t>3.3.6</t>
        </is>
      </c>
      <c r="B97" s="17" t="inlineStr">
        <is>
          <t>3-界面UIUX</t>
        </is>
      </c>
      <c r="C97" s="17" t="inlineStr">
        <is>
          <t>3.3 鼠标态交互</t>
        </is>
      </c>
      <c r="D97" s="17" t="inlineStr">
        <is>
          <t>批量操作</t>
        </is>
      </c>
      <c r="E97" s="17" t="inlineStr">
        <is>
          <t>触屏长按多选</t>
        </is>
      </c>
      <c r="F97" s="17" t="inlineStr">
        <is>
          <t>PC:双击/Shift多选/Ctrl</t>
        </is>
      </c>
      <c r="G97" s="17" t="inlineStr">
        <is>
          <t>背包/出售/分解批量</t>
        </is>
      </c>
      <c r="H97" s="5" t="inlineStr">
        <is>
          <t>EXP</t>
        </is>
      </c>
      <c r="I97" s="10" t="inlineStr">
        <is>
          <t>P2</t>
        </is>
      </c>
      <c r="J97" s="5" t="inlineStr">
        <is>
          <t>M</t>
        </is>
      </c>
      <c r="K97" s="95" t="n">
        <v>1</v>
      </c>
      <c r="L97" s="95" t="n">
        <v>1</v>
      </c>
      <c r="M97" s="95" t="n">
        <v>4</v>
      </c>
      <c r="N97" s="95" t="n">
        <v>0</v>
      </c>
      <c r="O97" s="95" t="n">
        <v>2</v>
      </c>
      <c r="P97" s="96">
        <f>SUM(K97:O97)</f>
        <v/>
      </c>
      <c r="Q97" s="5" t="inlineStr">
        <is>
          <t>待评审</t>
        </is>
      </c>
      <c r="R97" s="17" t="n"/>
    </row>
    <row r="98" ht="14.5" customHeight="1">
      <c r="A98" s="5" t="inlineStr">
        <is>
          <t>3.3.7</t>
        </is>
      </c>
      <c r="B98" s="17" t="inlineStr">
        <is>
          <t>3-界面UIUX</t>
        </is>
      </c>
      <c r="C98" s="17" t="inlineStr">
        <is>
          <t>3.3 鼠标态交互</t>
        </is>
      </c>
      <c r="D98" s="17" t="inlineStr">
        <is>
          <t>右键上下文菜单</t>
        </is>
      </c>
      <c r="E98" s="17" t="inlineStr">
        <is>
          <t>长按菜单</t>
        </is>
      </c>
      <c r="F98" s="17" t="inlineStr">
        <is>
          <t>PC惯例</t>
        </is>
      </c>
      <c r="G98" s="17" t="inlineStr">
        <is>
          <t>道具/好友右键菜单</t>
        </is>
      </c>
      <c r="H98" s="5" t="inlineStr">
        <is>
          <t>EXP</t>
        </is>
      </c>
      <c r="I98" s="10" t="inlineStr">
        <is>
          <t>P2</t>
        </is>
      </c>
      <c r="J98" s="5" t="inlineStr">
        <is>
          <t>S</t>
        </is>
      </c>
      <c r="K98" s="95" t="n">
        <v>1</v>
      </c>
      <c r="L98" s="95" t="n">
        <v>1</v>
      </c>
      <c r="M98" s="95" t="n">
        <v>2</v>
      </c>
      <c r="N98" s="95" t="n">
        <v>0</v>
      </c>
      <c r="O98" s="95" t="n">
        <v>1</v>
      </c>
      <c r="P98" s="96">
        <f>SUM(K98:O98)</f>
        <v/>
      </c>
      <c r="Q98" s="5" t="inlineStr">
        <is>
          <t>待评审</t>
        </is>
      </c>
      <c r="R98" s="17" t="n"/>
    </row>
    <row r="99" ht="14.5" customHeight="1">
      <c r="A99" s="5" t="inlineStr">
        <is>
          <t>3.3.8</t>
        </is>
      </c>
      <c r="B99" s="17" t="inlineStr">
        <is>
          <t>3-界面UIUX</t>
        </is>
      </c>
      <c r="C99" s="17" t="inlineStr">
        <is>
          <t>3.3 鼠标态交互</t>
        </is>
      </c>
      <c r="D99" s="17" t="inlineStr">
        <is>
          <t>滚动条与分页</t>
        </is>
      </c>
      <c r="E99" s="17" t="inlineStr">
        <is>
          <t>惯性滑动</t>
        </is>
      </c>
      <c r="F99" s="17" t="inlineStr">
        <is>
          <t>PC:滚轮+滚动条</t>
        </is>
      </c>
      <c r="G99" s="17" t="inlineStr">
        <is>
          <t>长列表加滚动条</t>
        </is>
      </c>
      <c r="H99" s="5" t="inlineStr">
        <is>
          <t>EXP</t>
        </is>
      </c>
      <c r="I99" s="9" t="inlineStr">
        <is>
          <t>P1</t>
        </is>
      </c>
      <c r="J99" s="5" t="inlineStr">
        <is>
          <t>S</t>
        </is>
      </c>
      <c r="K99" s="95" t="n">
        <v>0.5</v>
      </c>
      <c r="L99" s="95" t="n">
        <v>1</v>
      </c>
      <c r="M99" s="95" t="n">
        <v>2</v>
      </c>
      <c r="N99" s="95" t="n">
        <v>0</v>
      </c>
      <c r="O99" s="95" t="n">
        <v>1</v>
      </c>
      <c r="P99" s="96">
        <f>SUM(K99:O99)</f>
        <v/>
      </c>
      <c r="Q99" s="5" t="inlineStr">
        <is>
          <t>待评审</t>
        </is>
      </c>
      <c r="R99" s="17" t="n"/>
    </row>
    <row r="100" ht="14.5" customHeight="1">
      <c r="A100" s="5" t="inlineStr">
        <is>
          <t>3.4.1</t>
        </is>
      </c>
      <c r="B100" s="17" t="inlineStr">
        <is>
          <t>3-界面UIUX</t>
        </is>
      </c>
      <c r="C100" s="17" t="inlineStr">
        <is>
          <t>3.4 引导与流程</t>
        </is>
      </c>
      <c r="D100" s="17" t="inlineStr">
        <is>
          <t>新手引导双轨</t>
        </is>
      </c>
      <c r="E100" s="17" t="inlineStr">
        <is>
          <t>触屏引导</t>
        </is>
      </c>
      <c r="F100" s="17" t="inlineStr">
        <is>
          <t>原神/星铁:引导按设备显示</t>
        </is>
      </c>
      <c r="G100" s="17" t="inlineStr">
        <is>
          <t>引导按输入设备动态切换</t>
        </is>
      </c>
      <c r="H100" s="5" t="inlineStr">
        <is>
          <t>S14,S15</t>
        </is>
      </c>
      <c r="I100" s="8" t="inlineStr">
        <is>
          <t>P0</t>
        </is>
      </c>
      <c r="J100" s="5" t="inlineStr">
        <is>
          <t>L</t>
        </is>
      </c>
      <c r="K100" s="95" t="n">
        <v>4</v>
      </c>
      <c r="L100" s="95" t="n">
        <v>4</v>
      </c>
      <c r="M100" s="95" t="n">
        <v>6</v>
      </c>
      <c r="N100" s="95" t="n">
        <v>0</v>
      </c>
      <c r="O100" s="95" t="n">
        <v>3</v>
      </c>
      <c r="P100" s="96">
        <f>SUM(K100:O100)</f>
        <v/>
      </c>
      <c r="Q100" s="5" t="inlineStr">
        <is>
          <t>待评审</t>
        </is>
      </c>
      <c r="R100" s="17" t="n"/>
    </row>
    <row r="101" ht="14.5" customHeight="1">
      <c r="A101" s="5" t="inlineStr">
        <is>
          <t>3.4.2</t>
        </is>
      </c>
      <c r="B101" s="17" t="inlineStr">
        <is>
          <t>3-界面UIUX</t>
        </is>
      </c>
      <c r="C101" s="17" t="inlineStr">
        <is>
          <t>3.4 引导与流程</t>
        </is>
      </c>
      <c r="D101" s="17" t="inlineStr">
        <is>
          <t>连招教学</t>
        </is>
      </c>
      <c r="E101" s="17" t="inlineStr">
        <is>
          <t>触屏连段教学</t>
        </is>
      </c>
      <c r="F101" s="17" t="inlineStr">
        <is>
          <t>荒野:出招表</t>
        </is>
      </c>
      <c r="G101" s="17" t="inlineStr">
        <is>
          <t>用键鼠/手柄图标重做</t>
        </is>
      </c>
      <c r="H101" s="5" t="inlineStr">
        <is>
          <t>S3</t>
        </is>
      </c>
      <c r="I101" s="9" t="inlineStr">
        <is>
          <t>P1</t>
        </is>
      </c>
      <c r="J101" s="5" t="inlineStr">
        <is>
          <t>M</t>
        </is>
      </c>
      <c r="K101" s="95" t="n">
        <v>2</v>
      </c>
      <c r="L101" s="95" t="n">
        <v>2</v>
      </c>
      <c r="M101" s="95" t="n">
        <v>3</v>
      </c>
      <c r="N101" s="95" t="n">
        <v>0</v>
      </c>
      <c r="O101" s="95" t="n">
        <v>1</v>
      </c>
      <c r="P101" s="96">
        <f>SUM(K101:O101)</f>
        <v/>
      </c>
      <c r="Q101" s="5" t="inlineStr">
        <is>
          <t>待评审</t>
        </is>
      </c>
      <c r="R101" s="17" t="n"/>
    </row>
    <row r="102" ht="14.5" customHeight="1">
      <c r="A102" s="5" t="inlineStr">
        <is>
          <t>3.4.3</t>
        </is>
      </c>
      <c r="B102" s="17" t="inlineStr">
        <is>
          <t>3-界面UIUX</t>
        </is>
      </c>
      <c r="C102" s="17" t="inlineStr">
        <is>
          <t>3.4 引导与流程</t>
        </is>
      </c>
      <c r="D102" s="17" t="inlineStr">
        <is>
          <t>部位锁定教学</t>
        </is>
      </c>
      <c r="E102" s="17" t="inlineStr">
        <is>
          <t>长按锁定教学</t>
        </is>
      </c>
      <c r="F102" s="17" t="inlineStr">
        <is>
          <t>-</t>
        </is>
      </c>
      <c r="G102" s="17" t="inlineStr">
        <is>
          <t>重做键鼠/手柄教学</t>
        </is>
      </c>
      <c r="H102" s="5" t="inlineStr">
        <is>
          <t>S1</t>
        </is>
      </c>
      <c r="I102" s="9" t="inlineStr">
        <is>
          <t>P1</t>
        </is>
      </c>
      <c r="J102" s="5" t="inlineStr">
        <is>
          <t>S</t>
        </is>
      </c>
      <c r="K102" s="95" t="n">
        <v>1</v>
      </c>
      <c r="L102" s="95" t="n">
        <v>1</v>
      </c>
      <c r="M102" s="95" t="n">
        <v>1</v>
      </c>
      <c r="N102" s="95" t="n">
        <v>0</v>
      </c>
      <c r="O102" s="95" t="n">
        <v>0.5</v>
      </c>
      <c r="P102" s="96">
        <f>SUM(K102:O102)</f>
        <v/>
      </c>
      <c r="Q102" s="5" t="inlineStr">
        <is>
          <t>待评审</t>
        </is>
      </c>
      <c r="R102" s="17" t="n"/>
    </row>
    <row r="103" ht="29" customHeight="1">
      <c r="A103" s="5" t="inlineStr">
        <is>
          <t>3.4.4</t>
        </is>
      </c>
      <c r="B103" s="17" t="inlineStr">
        <is>
          <t>3-界面UIUX</t>
        </is>
      </c>
      <c r="C103" s="17" t="inlineStr">
        <is>
          <t>3.4 引导与流程</t>
        </is>
      </c>
      <c r="D103" s="17" t="inlineStr">
        <is>
          <t>登录与启动器</t>
        </is>
      </c>
      <c r="E103" s="17" t="inlineStr">
        <is>
          <t>微信/QQ授权</t>
        </is>
      </c>
      <c r="F103" s="17" t="inlineStr">
        <is>
          <t>Steam Deck 4.1:启动器需手柄可导航,不建议强制启动器</t>
        </is>
      </c>
      <c r="G103" s="17" t="inlineStr">
        <is>
          <t>PC扫码登录、启动器手柄可操作</t>
        </is>
      </c>
      <c r="H103" s="5" t="inlineStr">
        <is>
          <t>S17</t>
        </is>
      </c>
      <c r="I103" s="8" t="inlineStr">
        <is>
          <t>P0</t>
        </is>
      </c>
      <c r="J103" s="5" t="inlineStr">
        <is>
          <t>M</t>
        </is>
      </c>
      <c r="K103" s="95" t="n">
        <v>2</v>
      </c>
      <c r="L103" s="95" t="n">
        <v>2</v>
      </c>
      <c r="M103" s="95" t="n">
        <v>5</v>
      </c>
      <c r="N103" s="95" t="n">
        <v>0</v>
      </c>
      <c r="O103" s="95" t="n">
        <v>2</v>
      </c>
      <c r="P103" s="96">
        <f>SUM(K103:O103)</f>
        <v/>
      </c>
      <c r="Q103" s="5" t="inlineStr">
        <is>
          <t>待评审</t>
        </is>
      </c>
      <c r="R103" s="17" t="n"/>
    </row>
    <row r="104" ht="29" customHeight="1">
      <c r="A104" s="5" t="inlineStr">
        <is>
          <t>3.4.5</t>
        </is>
      </c>
      <c r="B104" s="17" t="inlineStr">
        <is>
          <t>3-界面UIUX</t>
        </is>
      </c>
      <c r="C104" s="17" t="inlineStr">
        <is>
          <t>3.4 引导与流程</t>
        </is>
      </c>
      <c r="D104" s="17" t="inlineStr">
        <is>
          <t>H5/WebView页面</t>
        </is>
      </c>
      <c r="E104" s="17" t="inlineStr">
        <is>
          <t>手机内嵌H5</t>
        </is>
      </c>
      <c r="F104" s="17" t="inlineStr">
        <is>
          <t>PC</t>
        </is>
      </c>
      <c r="G104" s="17" t="inlineStr">
        <is>
          <t>活动/支付/公告页键鼠手柄可操作、尺寸适配</t>
        </is>
      </c>
      <c r="H104" s="5" t="inlineStr">
        <is>
          <t>EXP</t>
        </is>
      </c>
      <c r="I104" s="9" t="inlineStr">
        <is>
          <t>P1</t>
        </is>
      </c>
      <c r="J104" s="5" t="inlineStr">
        <is>
          <t>M</t>
        </is>
      </c>
      <c r="K104" s="95" t="n">
        <v>1</v>
      </c>
      <c r="L104" s="95" t="n">
        <v>2</v>
      </c>
      <c r="M104" s="95" t="n">
        <v>5</v>
      </c>
      <c r="N104" s="95" t="n">
        <v>0</v>
      </c>
      <c r="O104" s="95" t="n">
        <v>3</v>
      </c>
      <c r="P104" s="96">
        <f>SUM(K104:O104)</f>
        <v/>
      </c>
      <c r="Q104" s="5" t="inlineStr">
        <is>
          <t>待评审</t>
        </is>
      </c>
      <c r="R104" s="17" t="n"/>
    </row>
    <row r="105" ht="14.5" customHeight="1">
      <c r="A105" s="5" t="inlineStr">
        <is>
          <t>3.5.1</t>
        </is>
      </c>
      <c r="B105" s="17" t="inlineStr">
        <is>
          <t>3-界面UIUX</t>
        </is>
      </c>
      <c r="C105" s="17" t="inlineStr">
        <is>
          <t>3.5 系统集成</t>
        </is>
      </c>
      <c r="D105" s="17" t="inlineStr">
        <is>
          <t>失焦/后台行为</t>
        </is>
      </c>
      <c r="E105" s="17" t="inlineStr">
        <is>
          <t>切后台暂停</t>
        </is>
      </c>
      <c r="F105" s="17" t="inlineStr">
        <is>
          <t>PC:后台静音/限帧</t>
        </is>
      </c>
      <c r="G105" s="17" t="inlineStr">
        <is>
          <t>失焦释放鼠标、后台静音与限帧</t>
        </is>
      </c>
      <c r="H105" s="5" t="inlineStr">
        <is>
          <t>EXP</t>
        </is>
      </c>
      <c r="I105" s="9" t="inlineStr">
        <is>
          <t>P1</t>
        </is>
      </c>
      <c r="J105" s="5" t="inlineStr">
        <is>
          <t>S</t>
        </is>
      </c>
      <c r="K105" s="95" t="n">
        <v>0.5</v>
      </c>
      <c r="L105" s="95" t="n">
        <v>0</v>
      </c>
      <c r="M105" s="95" t="n">
        <v>2</v>
      </c>
      <c r="N105" s="95" t="n">
        <v>0</v>
      </c>
      <c r="O105" s="95" t="n">
        <v>1</v>
      </c>
      <c r="P105" s="96">
        <f>SUM(K105:O105)</f>
        <v/>
      </c>
      <c r="Q105" s="5" t="inlineStr">
        <is>
          <t>待评审</t>
        </is>
      </c>
      <c r="R105" s="17" t="n"/>
    </row>
    <row r="106" ht="14.5" customHeight="1">
      <c r="A106" s="5" t="inlineStr">
        <is>
          <t>3.5.2</t>
        </is>
      </c>
      <c r="B106" s="17" t="inlineStr">
        <is>
          <t>3-界面UIUX</t>
        </is>
      </c>
      <c r="C106" s="17" t="inlineStr">
        <is>
          <t>3.5 系统集成</t>
        </is>
      </c>
      <c r="D106" s="17" t="inlineStr">
        <is>
          <t>截图/拍照模式</t>
        </is>
      </c>
      <c r="E106" s="17" t="inlineStr">
        <is>
          <t>手机系统截图</t>
        </is>
      </c>
      <c r="F106" s="17" t="inlineStr">
        <is>
          <t>荒野:拍照模式</t>
        </is>
      </c>
      <c r="G106" s="17" t="inlineStr">
        <is>
          <t>截图键、拍照模式键鼠操作、隐藏UI</t>
        </is>
      </c>
      <c r="H106" s="5" t="inlineStr">
        <is>
          <t>S3</t>
        </is>
      </c>
      <c r="I106" s="10" t="inlineStr">
        <is>
          <t>P2</t>
        </is>
      </c>
      <c r="J106" s="5" t="inlineStr">
        <is>
          <t>S</t>
        </is>
      </c>
      <c r="K106" s="95" t="n">
        <v>0.5</v>
      </c>
      <c r="L106" s="95" t="n">
        <v>0.5</v>
      </c>
      <c r="M106" s="95" t="n">
        <v>2</v>
      </c>
      <c r="N106" s="95" t="n">
        <v>0</v>
      </c>
      <c r="O106" s="95" t="n">
        <v>1</v>
      </c>
      <c r="P106" s="96">
        <f>SUM(K106:O106)</f>
        <v/>
      </c>
      <c r="Q106" s="5" t="inlineStr">
        <is>
          <t>待评审</t>
        </is>
      </c>
      <c r="R106" s="17" t="n"/>
    </row>
    <row r="107" ht="14.5" customHeight="1">
      <c r="A107" s="5" t="inlineStr">
        <is>
          <t>3.5.3</t>
        </is>
      </c>
      <c r="B107" s="17" t="inlineStr">
        <is>
          <t>3-界面UIUX</t>
        </is>
      </c>
      <c r="C107" s="17" t="inlineStr">
        <is>
          <t>3.5 系统集成</t>
        </is>
      </c>
      <c r="D107" s="17" t="inlineStr">
        <is>
          <t>退出确认(Alt+F4)</t>
        </is>
      </c>
      <c r="E107" s="17" t="inlineStr">
        <is>
          <t>划掉后台</t>
        </is>
      </c>
      <c r="F107" s="17" t="inlineStr">
        <is>
          <t>PC</t>
        </is>
      </c>
      <c r="G107" s="17" t="inlineStr">
        <is>
          <t>关闭窗口确认/安全存档</t>
        </is>
      </c>
      <c r="H107" s="5" t="inlineStr">
        <is>
          <t>EXP</t>
        </is>
      </c>
      <c r="I107" s="9" t="inlineStr">
        <is>
          <t>P1</t>
        </is>
      </c>
      <c r="J107" s="5" t="inlineStr">
        <is>
          <t>S</t>
        </is>
      </c>
      <c r="K107" s="95" t="n">
        <v>0.5</v>
      </c>
      <c r="L107" s="95" t="n">
        <v>0.5</v>
      </c>
      <c r="M107" s="95" t="n">
        <v>1</v>
      </c>
      <c r="N107" s="95" t="n">
        <v>0</v>
      </c>
      <c r="O107" s="95" t="n">
        <v>1</v>
      </c>
      <c r="P107" s="96">
        <f>SUM(K107:O107)</f>
        <v/>
      </c>
      <c r="Q107" s="5" t="inlineStr">
        <is>
          <t>待评审</t>
        </is>
      </c>
      <c r="R107" s="17" t="n"/>
    </row>
    <row r="108" ht="29" customHeight="1">
      <c r="A108" s="5" t="inlineStr">
        <is>
          <t>3.5.4</t>
        </is>
      </c>
      <c r="B108" s="17" t="inlineStr">
        <is>
          <t>3-界面UIUX</t>
        </is>
      </c>
      <c r="C108" s="17" t="inlineStr">
        <is>
          <t>3.5 系统集成</t>
        </is>
      </c>
      <c r="D108" s="17" t="inlineStr">
        <is>
          <t>自动寻路等手游便利功能</t>
        </is>
      </c>
      <c r="E108" s="17" t="inlineStr">
        <is>
          <t>手游常见</t>
        </is>
      </c>
      <c r="F108" s="17" t="inlineStr">
        <is>
          <t>值得买:PC玩家对自动寻路有'端游感缺失'槽点</t>
        </is>
      </c>
      <c r="G108" s="17" t="inlineStr">
        <is>
          <t>评估保留、加快捷键或PC端弱化</t>
        </is>
      </c>
      <c r="H108" s="5" t="inlineStr">
        <is>
          <t>S20</t>
        </is>
      </c>
      <c r="I108" s="10" t="inlineStr">
        <is>
          <t>P2</t>
        </is>
      </c>
      <c r="J108" s="5" t="inlineStr">
        <is>
          <t>S</t>
        </is>
      </c>
      <c r="K108" s="95" t="n">
        <v>2</v>
      </c>
      <c r="L108" s="95" t="n">
        <v>0</v>
      </c>
      <c r="M108" s="95" t="n">
        <v>1</v>
      </c>
      <c r="N108" s="95" t="n">
        <v>0</v>
      </c>
      <c r="O108" s="95" t="n">
        <v>0.5</v>
      </c>
      <c r="P108" s="96">
        <f>SUM(K108:O108)</f>
        <v/>
      </c>
      <c r="Q108" s="5" t="inlineStr">
        <is>
          <t>待评审</t>
        </is>
      </c>
      <c r="R108" s="17" t="inlineStr">
        <is>
          <t>偏策划决策</t>
        </is>
      </c>
    </row>
    <row r="109" ht="14.5" customHeight="1">
      <c r="A109" s="5" t="inlineStr">
        <is>
          <t>4.1.1</t>
        </is>
      </c>
      <c r="B109" s="17" t="inlineStr">
        <is>
          <t>4-画面与性能</t>
        </is>
      </c>
      <c r="C109" s="17" t="inlineStr">
        <is>
          <t>4.1 画质选项</t>
        </is>
      </c>
      <c r="D109" s="17" t="inlineStr">
        <is>
          <t>分辨率/渲染比例</t>
        </is>
      </c>
      <c r="E109" s="17" t="inlineStr">
        <is>
          <t>手机固定/缩放</t>
        </is>
      </c>
      <c r="F109" s="17" t="inlineStr">
        <is>
          <t>荒野:渲染比例可调</t>
        </is>
      </c>
      <c r="G109" s="17" t="inlineStr">
        <is>
          <t>分辨率+渲染比例</t>
        </is>
      </c>
      <c r="H109" s="5" t="inlineStr">
        <is>
          <t>S5</t>
        </is>
      </c>
      <c r="I109" s="8" t="inlineStr">
        <is>
          <t>P0</t>
        </is>
      </c>
      <c r="J109" s="5" t="inlineStr">
        <is>
          <t>M</t>
        </is>
      </c>
      <c r="K109" s="95" t="n">
        <v>0.5</v>
      </c>
      <c r="L109" s="95" t="n">
        <v>0</v>
      </c>
      <c r="M109" s="95" t="n">
        <v>2</v>
      </c>
      <c r="N109" s="95" t="n">
        <v>3</v>
      </c>
      <c r="O109" s="95" t="n">
        <v>2</v>
      </c>
      <c r="P109" s="96">
        <f>SUM(K109:O109)</f>
        <v/>
      </c>
      <c r="Q109" s="5" t="inlineStr">
        <is>
          <t>待评审</t>
        </is>
      </c>
      <c r="R109" s="17" t="n"/>
    </row>
    <row r="110" ht="14.5" customHeight="1">
      <c r="A110" s="5" t="inlineStr">
        <is>
          <t>4.1.2</t>
        </is>
      </c>
      <c r="B110" s="17" t="inlineStr">
        <is>
          <t>4-画面与性能</t>
        </is>
      </c>
      <c r="C110" s="17" t="inlineStr">
        <is>
          <t>4.1 画质选项</t>
        </is>
      </c>
      <c r="D110" s="17" t="inlineStr">
        <is>
          <t>纹理/材质品质分档</t>
        </is>
      </c>
      <c r="E110" s="17" t="inlineStr">
        <is>
          <t>手机纹理压缩</t>
        </is>
      </c>
      <c r="F110" s="17" t="inlineStr">
        <is>
          <t>荒野:纹理品质分档</t>
        </is>
      </c>
      <c r="G110" s="17" t="inlineStr">
        <is>
          <t>纹理/阴影/植被/特效分档</t>
        </is>
      </c>
      <c r="H110" s="5" t="inlineStr">
        <is>
          <t>S5,S23</t>
        </is>
      </c>
      <c r="I110" s="8" t="inlineStr">
        <is>
          <t>P0</t>
        </is>
      </c>
      <c r="J110" s="5" t="inlineStr">
        <is>
          <t>L</t>
        </is>
      </c>
      <c r="K110" s="95" t="n">
        <v>0.5</v>
      </c>
      <c r="L110" s="95" t="n">
        <v>0</v>
      </c>
      <c r="M110" s="95" t="n">
        <v>1</v>
      </c>
      <c r="N110" s="95" t="n">
        <v>8</v>
      </c>
      <c r="O110" s="95" t="n">
        <v>3</v>
      </c>
      <c r="P110" s="96">
        <f>SUM(K110:O110)</f>
        <v/>
      </c>
      <c r="Q110" s="5" t="inlineStr">
        <is>
          <t>待评审</t>
        </is>
      </c>
      <c r="R110" s="17" t="n"/>
    </row>
    <row r="111" ht="14.5" customHeight="1">
      <c r="A111" s="5" t="inlineStr">
        <is>
          <t>4.1.3</t>
        </is>
      </c>
      <c r="B111" s="17" t="inlineStr">
        <is>
          <t>4-画面与性能</t>
        </is>
      </c>
      <c r="C111" s="17" t="inlineStr">
        <is>
          <t>4.1 画质选项</t>
        </is>
      </c>
      <c r="D111" s="17" t="inlineStr">
        <is>
          <t>光影/全局光照</t>
        </is>
      </c>
      <c r="E111" s="17" t="inlineStr">
        <is>
          <t>手机简化</t>
        </is>
      </c>
      <c r="F111" s="17" t="inlineStr">
        <is>
          <t>PC光影反射更真实</t>
        </is>
      </c>
      <c r="G111" s="17" t="inlineStr">
        <is>
          <t>阴影/反射/GI档位</t>
        </is>
      </c>
      <c r="H111" s="5" t="inlineStr">
        <is>
          <t>S8,S7</t>
        </is>
      </c>
      <c r="I111" s="9" t="inlineStr">
        <is>
          <t>P1</t>
        </is>
      </c>
      <c r="J111" s="5" t="inlineStr">
        <is>
          <t>L</t>
        </is>
      </c>
      <c r="K111" s="95" t="n">
        <v>0.5</v>
      </c>
      <c r="L111" s="95" t="n">
        <v>0</v>
      </c>
      <c r="M111" s="95" t="n">
        <v>1</v>
      </c>
      <c r="N111" s="95" t="n">
        <v>10</v>
      </c>
      <c r="O111" s="95" t="n">
        <v>3</v>
      </c>
      <c r="P111" s="96">
        <f>SUM(K111:O111)</f>
        <v/>
      </c>
      <c r="Q111" s="5" t="inlineStr">
        <is>
          <t>待评审</t>
        </is>
      </c>
      <c r="R111" s="17" t="n"/>
    </row>
    <row r="112" ht="14.5" customHeight="1">
      <c r="A112" s="5" t="inlineStr">
        <is>
          <t>4.1.4</t>
        </is>
      </c>
      <c r="B112" s="17" t="inlineStr">
        <is>
          <t>4-画面与性能</t>
        </is>
      </c>
      <c r="C112" s="17" t="inlineStr">
        <is>
          <t>4.1 画质选项</t>
        </is>
      </c>
      <c r="D112" s="17" t="inlineStr">
        <is>
          <t>动态分辨率</t>
        </is>
      </c>
      <c r="E112" s="17" t="inlineStr">
        <is>
          <t>手机保帧</t>
        </is>
      </c>
      <c r="F112" s="17" t="inlineStr">
        <is>
          <t>荒野:动态分辨率</t>
        </is>
      </c>
      <c r="G112" s="17" t="inlineStr">
        <is>
          <t>动态分辨率</t>
        </is>
      </c>
      <c r="H112" s="5" t="inlineStr">
        <is>
          <t>S5</t>
        </is>
      </c>
      <c r="I112" s="9" t="inlineStr">
        <is>
          <t>P1</t>
        </is>
      </c>
      <c r="J112" s="5" t="inlineStr">
        <is>
          <t>M</t>
        </is>
      </c>
      <c r="K112" s="95" t="n">
        <v>0</v>
      </c>
      <c r="L112" s="95" t="n">
        <v>0</v>
      </c>
      <c r="M112" s="95" t="n">
        <v>1</v>
      </c>
      <c r="N112" s="95" t="n">
        <v>4</v>
      </c>
      <c r="O112" s="95" t="n">
        <v>2</v>
      </c>
      <c r="P112" s="96">
        <f>SUM(K112:O112)</f>
        <v/>
      </c>
      <c r="Q112" s="5" t="inlineStr">
        <is>
          <t>待评审</t>
        </is>
      </c>
      <c r="R112" s="17" t="n"/>
    </row>
    <row r="113" ht="14.5" customHeight="1">
      <c r="A113" s="5" t="inlineStr">
        <is>
          <t>4.1.5</t>
        </is>
      </c>
      <c r="B113" s="17" t="inlineStr">
        <is>
          <t>4-画面与性能</t>
        </is>
      </c>
      <c r="C113" s="17" t="inlineStr">
        <is>
          <t>4.1 画质选项</t>
        </is>
      </c>
      <c r="D113" s="17" t="inlineStr">
        <is>
          <t>DLSS/FSR/帧生成</t>
        </is>
      </c>
      <c r="E113" s="17" t="inlineStr">
        <is>
          <t>无</t>
        </is>
      </c>
      <c r="F113" s="17" t="inlineStr">
        <is>
          <t>荒野:帧生成;鸣潮:DLSS+帧生成</t>
        </is>
      </c>
      <c r="G113" s="17" t="inlineStr">
        <is>
          <t>接入超分与帧生成</t>
        </is>
      </c>
      <c r="H113" s="5" t="inlineStr">
        <is>
          <t>S5,S12</t>
        </is>
      </c>
      <c r="I113" s="10" t="inlineStr">
        <is>
          <t>P2</t>
        </is>
      </c>
      <c r="J113" s="5" t="inlineStr">
        <is>
          <t>L</t>
        </is>
      </c>
      <c r="K113" s="95" t="n">
        <v>0</v>
      </c>
      <c r="L113" s="95" t="n">
        <v>0</v>
      </c>
      <c r="M113" s="95" t="n">
        <v>2</v>
      </c>
      <c r="N113" s="95" t="n">
        <v>10</v>
      </c>
      <c r="O113" s="95" t="n">
        <v>4</v>
      </c>
      <c r="P113" s="96">
        <f>SUM(K113:O113)</f>
        <v/>
      </c>
      <c r="Q113" s="5" t="inlineStr">
        <is>
          <t>待评审</t>
        </is>
      </c>
      <c r="R113" s="17" t="n"/>
    </row>
    <row r="114" ht="14.5" customHeight="1">
      <c r="A114" s="5" t="inlineStr">
        <is>
          <t>4.1.6</t>
        </is>
      </c>
      <c r="B114" s="17" t="inlineStr">
        <is>
          <t>4-画面与性能</t>
        </is>
      </c>
      <c r="C114" s="17" t="inlineStr">
        <is>
          <t>4.1 画质选项</t>
        </is>
      </c>
      <c r="D114" s="17" t="inlineStr">
        <is>
          <t>光线追踪</t>
        </is>
      </c>
      <c r="E114" s="17" t="inlineStr">
        <is>
          <t>无</t>
        </is>
      </c>
      <c r="F114" s="17" t="inlineStr">
        <is>
          <t>鸣潮PC:光追</t>
        </is>
      </c>
      <c r="G114" s="17" t="inlineStr">
        <is>
          <t>可选光追</t>
        </is>
      </c>
      <c r="H114" s="5" t="inlineStr">
        <is>
          <t>S12</t>
        </is>
      </c>
      <c r="I114" s="10" t="inlineStr">
        <is>
          <t>P2</t>
        </is>
      </c>
      <c r="J114" s="5" t="inlineStr">
        <is>
          <t>XL</t>
        </is>
      </c>
      <c r="K114" s="95" t="n">
        <v>0</v>
      </c>
      <c r="L114" s="95" t="n">
        <v>0</v>
      </c>
      <c r="M114" s="95" t="n">
        <v>1</v>
      </c>
      <c r="N114" s="95" t="n">
        <v>20</v>
      </c>
      <c r="O114" s="95" t="n">
        <v>4</v>
      </c>
      <c r="P114" s="96">
        <f>SUM(K114:O114)</f>
        <v/>
      </c>
      <c r="Q114" s="5" t="inlineStr">
        <is>
          <t>待评审</t>
        </is>
      </c>
      <c r="R114" s="17" t="inlineStr">
        <is>
          <t>是否做需评估引擎</t>
        </is>
      </c>
    </row>
    <row r="115" ht="14.5" customHeight="1">
      <c r="A115" s="5" t="inlineStr">
        <is>
          <t>4.1.7</t>
        </is>
      </c>
      <c r="B115" s="17" t="inlineStr">
        <is>
          <t>4-画面与性能</t>
        </is>
      </c>
      <c r="C115" s="17" t="inlineStr">
        <is>
          <t>4.1 画质选项</t>
        </is>
      </c>
      <c r="D115" s="17" t="inlineStr">
        <is>
          <t>抗锯齿</t>
        </is>
      </c>
      <c r="E115" s="17" t="inlineStr">
        <is>
          <t>手机MSAA/关闭</t>
        </is>
      </c>
      <c r="F115" s="17" t="inlineStr">
        <is>
          <t>原神:SMAA/FSR2</t>
        </is>
      </c>
      <c r="G115" s="17" t="inlineStr">
        <is>
          <t>FXAA/TAA/SMAA可选</t>
        </is>
      </c>
      <c r="H115" s="5" t="inlineStr">
        <is>
          <t>S14</t>
        </is>
      </c>
      <c r="I115" s="9" t="inlineStr">
        <is>
          <t>P1</t>
        </is>
      </c>
      <c r="J115" s="5" t="inlineStr">
        <is>
          <t>M</t>
        </is>
      </c>
      <c r="K115" s="95" t="n">
        <v>0</v>
      </c>
      <c r="L115" s="95" t="n">
        <v>0</v>
      </c>
      <c r="M115" s="95" t="n">
        <v>1</v>
      </c>
      <c r="N115" s="95" t="n">
        <v>4</v>
      </c>
      <c r="O115" s="95" t="n">
        <v>2</v>
      </c>
      <c r="P115" s="96">
        <f>SUM(K115:O115)</f>
        <v/>
      </c>
      <c r="Q115" s="5" t="inlineStr">
        <is>
          <t>待评审</t>
        </is>
      </c>
      <c r="R115" s="17" t="n"/>
    </row>
    <row r="116" ht="14.5" customHeight="1">
      <c r="A116" s="5" t="inlineStr">
        <is>
          <t>4.1.8</t>
        </is>
      </c>
      <c r="B116" s="17" t="inlineStr">
        <is>
          <t>4-画面与性能</t>
        </is>
      </c>
      <c r="C116" s="17" t="inlineStr">
        <is>
          <t>4.1 画质选项</t>
        </is>
      </c>
      <c r="D116" s="17" t="inlineStr">
        <is>
          <t>HDR/亮度校准</t>
        </is>
      </c>
      <c r="E116" s="17" t="inlineStr">
        <is>
          <t>无</t>
        </is>
      </c>
      <c r="F116" s="17" t="inlineStr">
        <is>
          <t>原神:亮度调节</t>
        </is>
      </c>
      <c r="G116" s="17" t="inlineStr">
        <is>
          <t>HDR+亮度/Gamma校准</t>
        </is>
      </c>
      <c r="H116" s="5" t="inlineStr">
        <is>
          <t>S14</t>
        </is>
      </c>
      <c r="I116" s="10" t="inlineStr">
        <is>
          <t>P2</t>
        </is>
      </c>
      <c r="J116" s="5" t="inlineStr">
        <is>
          <t>M</t>
        </is>
      </c>
      <c r="K116" s="95" t="n">
        <v>0.5</v>
      </c>
      <c r="L116" s="95" t="n">
        <v>1</v>
      </c>
      <c r="M116" s="95" t="n">
        <v>1</v>
      </c>
      <c r="N116" s="95" t="n">
        <v>5</v>
      </c>
      <c r="O116" s="95" t="n">
        <v>2</v>
      </c>
      <c r="P116" s="96">
        <f>SUM(K116:O116)</f>
        <v/>
      </c>
      <c r="Q116" s="5" t="inlineStr">
        <is>
          <t>待评审</t>
        </is>
      </c>
      <c r="R116" s="17" t="n"/>
    </row>
    <row r="117" ht="29" customHeight="1">
      <c r="A117" s="5" t="inlineStr">
        <is>
          <t>4.1.9</t>
        </is>
      </c>
      <c r="B117" s="17" t="inlineStr">
        <is>
          <t>4-画面与性能</t>
        </is>
      </c>
      <c r="C117" s="17" t="inlineStr">
        <is>
          <t>4.1 画质选项</t>
        </is>
      </c>
      <c r="D117" s="17" t="inlineStr">
        <is>
          <t>画质预设与自动推荐</t>
        </is>
      </c>
      <c r="E117" s="17" t="inlineStr">
        <is>
          <t>按机型自动档</t>
        </is>
      </c>
      <c r="F117" s="17" t="inlineStr">
        <is>
          <t>原神:预设+自定义;Xbox掌机:默认设置直接可用</t>
        </is>
      </c>
      <c r="G117" s="17" t="inlineStr">
        <is>
          <t>一键档位+首启按硬件推荐</t>
        </is>
      </c>
      <c r="H117" s="5" t="inlineStr">
        <is>
          <t>S14,S18</t>
        </is>
      </c>
      <c r="I117" s="8" t="inlineStr">
        <is>
          <t>P0</t>
        </is>
      </c>
      <c r="J117" s="5" t="inlineStr">
        <is>
          <t>M</t>
        </is>
      </c>
      <c r="K117" s="95" t="n">
        <v>1</v>
      </c>
      <c r="L117" s="95" t="n">
        <v>1</v>
      </c>
      <c r="M117" s="95" t="n">
        <v>3</v>
      </c>
      <c r="N117" s="95" t="n">
        <v>3</v>
      </c>
      <c r="O117" s="95" t="n">
        <v>3</v>
      </c>
      <c r="P117" s="96">
        <f>SUM(K117:O117)</f>
        <v/>
      </c>
      <c r="Q117" s="5" t="inlineStr">
        <is>
          <t>待评审</t>
        </is>
      </c>
      <c r="R117" s="17" t="n"/>
    </row>
    <row r="118" ht="14.5" customHeight="1">
      <c r="A118" s="5" t="inlineStr">
        <is>
          <t>4.2.1</t>
        </is>
      </c>
      <c r="B118" s="17" t="inlineStr">
        <is>
          <t>4-画面与性能</t>
        </is>
      </c>
      <c r="C118" s="17" t="inlineStr">
        <is>
          <t>4.2 帧率与延迟</t>
        </is>
      </c>
      <c r="D118" s="17" t="inlineStr">
        <is>
          <t>帧率上限</t>
        </is>
      </c>
      <c r="E118" s="17" t="inlineStr">
        <is>
          <t>手机30/60</t>
        </is>
      </c>
      <c r="F118" s="17" t="inlineStr">
        <is>
          <t>鸣潮:可解锁120,需关垂直同步</t>
        </is>
      </c>
      <c r="G118" s="17" t="inlineStr">
        <is>
          <t>30~144档+垂直同步联动</t>
        </is>
      </c>
      <c r="H118" s="5" t="inlineStr">
        <is>
          <t>S12</t>
        </is>
      </c>
      <c r="I118" s="8" t="inlineStr">
        <is>
          <t>P0</t>
        </is>
      </c>
      <c r="J118" s="5" t="inlineStr">
        <is>
          <t>M</t>
        </is>
      </c>
      <c r="K118" s="95" t="n">
        <v>0.5</v>
      </c>
      <c r="L118" s="95" t="n">
        <v>0</v>
      </c>
      <c r="M118" s="95" t="n">
        <v>2</v>
      </c>
      <c r="N118" s="95" t="n">
        <v>2</v>
      </c>
      <c r="O118" s="95" t="n">
        <v>2</v>
      </c>
      <c r="P118" s="96">
        <f>SUM(K118:O118)</f>
        <v/>
      </c>
      <c r="Q118" s="5" t="inlineStr">
        <is>
          <t>待评审</t>
        </is>
      </c>
      <c r="R118" s="17" t="n"/>
    </row>
    <row r="119" ht="14.5" customHeight="1">
      <c r="A119" s="5" t="inlineStr">
        <is>
          <t>4.2.2</t>
        </is>
      </c>
      <c r="B119" s="17" t="inlineStr">
        <is>
          <t>4-画面与性能</t>
        </is>
      </c>
      <c r="C119" s="17" t="inlineStr">
        <is>
          <t>4.2 帧率与延迟</t>
        </is>
      </c>
      <c r="D119" s="17" t="inlineStr">
        <is>
          <t>低延迟(Reflex/Anti-Lag)</t>
        </is>
      </c>
      <c r="E119" s="17" t="inlineStr">
        <is>
          <t>无</t>
        </is>
      </c>
      <c r="F119" s="17" t="inlineStr">
        <is>
          <t>鸣潮:NVIDIA Reflex</t>
        </is>
      </c>
      <c r="G119" s="17" t="inlineStr">
        <is>
          <t>接入低延迟</t>
        </is>
      </c>
      <c r="H119" s="5" t="inlineStr">
        <is>
          <t>S11</t>
        </is>
      </c>
      <c r="I119" s="10" t="inlineStr">
        <is>
          <t>P2</t>
        </is>
      </c>
      <c r="J119" s="5" t="inlineStr">
        <is>
          <t>M</t>
        </is>
      </c>
      <c r="K119" s="95" t="n">
        <v>0</v>
      </c>
      <c r="L119" s="95" t="n">
        <v>0</v>
      </c>
      <c r="M119" s="95" t="n">
        <v>1</v>
      </c>
      <c r="N119" s="95" t="n">
        <v>3</v>
      </c>
      <c r="O119" s="95" t="n">
        <v>1</v>
      </c>
      <c r="P119" s="96">
        <f>SUM(K119:O119)</f>
        <v/>
      </c>
      <c r="Q119" s="5" t="inlineStr">
        <is>
          <t>待评审</t>
        </is>
      </c>
      <c r="R119" s="17" t="n"/>
    </row>
    <row r="120" ht="14.5" customHeight="1">
      <c r="A120" s="5" t="inlineStr">
        <is>
          <t>4.2.3</t>
        </is>
      </c>
      <c r="B120" s="17" t="inlineStr">
        <is>
          <t>4-画面与性能</t>
        </is>
      </c>
      <c r="C120" s="17" t="inlineStr">
        <is>
          <t>4.2 帧率与延迟</t>
        </is>
      </c>
      <c r="D120" s="17" t="inlineStr">
        <is>
          <t>性能监控</t>
        </is>
      </c>
      <c r="E120" s="17" t="inlineStr">
        <is>
          <t>无</t>
        </is>
      </c>
      <c r="F120" s="17" t="inlineStr">
        <is>
          <t>CSDN:鸣潮F11显示帧率</t>
        </is>
      </c>
      <c r="G120" s="17" t="inlineStr">
        <is>
          <t>内置帧率/延迟监控</t>
        </is>
      </c>
      <c r="H120" s="5" t="inlineStr">
        <is>
          <t>S12</t>
        </is>
      </c>
      <c r="I120" s="10" t="inlineStr">
        <is>
          <t>P2</t>
        </is>
      </c>
      <c r="J120" s="5" t="inlineStr">
        <is>
          <t>S</t>
        </is>
      </c>
      <c r="K120" s="95" t="n">
        <v>0</v>
      </c>
      <c r="L120" s="95" t="n">
        <v>0.5</v>
      </c>
      <c r="M120" s="95" t="n">
        <v>1</v>
      </c>
      <c r="N120" s="95" t="n">
        <v>1</v>
      </c>
      <c r="O120" s="95" t="n">
        <v>0.5</v>
      </c>
      <c r="P120" s="96">
        <f>SUM(K120:O120)</f>
        <v/>
      </c>
      <c r="Q120" s="5" t="inlineStr">
        <is>
          <t>待评审</t>
        </is>
      </c>
      <c r="R120" s="17" t="n"/>
    </row>
    <row r="121" ht="29" customHeight="1">
      <c r="A121" s="5" t="inlineStr">
        <is>
          <t>4.2.4</t>
        </is>
      </c>
      <c r="B121" s="17" t="inlineStr">
        <is>
          <t>4-画面与性能</t>
        </is>
      </c>
      <c r="C121" s="17" t="inlineStr">
        <is>
          <t>4.2 帧率与延迟</t>
        </is>
      </c>
      <c r="D121" s="17" t="inlineStr">
        <is>
          <t>高帧率下逻辑/动画解耦</t>
        </is>
      </c>
      <c r="E121" s="17" t="inlineStr">
        <is>
          <t>手机30/60</t>
        </is>
      </c>
      <c r="F121" s="17" t="inlineStr">
        <is>
          <t>鸣潮解锁120</t>
        </is>
      </c>
      <c r="G121" s="17" t="inlineStr">
        <is>
          <t>验证120/144帧下判定、物理、动画、输入缓冲</t>
        </is>
      </c>
      <c r="H121" s="5" t="inlineStr">
        <is>
          <t>S12,EXP</t>
        </is>
      </c>
      <c r="I121" s="8" t="inlineStr">
        <is>
          <t>P0</t>
        </is>
      </c>
      <c r="J121" s="5" t="inlineStr">
        <is>
          <t>L</t>
        </is>
      </c>
      <c r="K121" s="95" t="n">
        <v>1</v>
      </c>
      <c r="L121" s="95" t="n">
        <v>0</v>
      </c>
      <c r="M121" s="95" t="n">
        <v>10</v>
      </c>
      <c r="N121" s="95" t="n">
        <v>2</v>
      </c>
      <c r="O121" s="95" t="n">
        <v>8</v>
      </c>
      <c r="P121" s="96">
        <f>SUM(K121:O121)</f>
        <v/>
      </c>
      <c r="Q121" s="5" t="inlineStr">
        <is>
          <t>待评审</t>
        </is>
      </c>
      <c r="R121" s="17" t="inlineStr">
        <is>
          <t>动作游戏高风险</t>
        </is>
      </c>
    </row>
    <row r="122" ht="14.5" customHeight="1">
      <c r="A122" s="5" t="inlineStr">
        <is>
          <t>4.2.5</t>
        </is>
      </c>
      <c r="B122" s="17" t="inlineStr">
        <is>
          <t>4-画面与性能</t>
        </is>
      </c>
      <c r="C122" s="17" t="inlineStr">
        <is>
          <t>4.2 帧率与延迟</t>
        </is>
      </c>
      <c r="D122" s="17" t="inlineStr">
        <is>
          <t>着色器预编译/首次卡顿</t>
        </is>
      </c>
      <c r="E122" s="17" t="inlineStr">
        <is>
          <t>手机管线不同</t>
        </is>
      </c>
      <c r="F122" s="17" t="inlineStr">
        <is>
          <t>PC常见shader编译卡顿</t>
        </is>
      </c>
      <c r="G122" s="17" t="inlineStr">
        <is>
          <t>首启预编译或异步编译</t>
        </is>
      </c>
      <c r="H122" s="5" t="inlineStr">
        <is>
          <t>EXP</t>
        </is>
      </c>
      <c r="I122" s="8" t="inlineStr">
        <is>
          <t>P0</t>
        </is>
      </c>
      <c r="J122" s="5" t="inlineStr">
        <is>
          <t>L</t>
        </is>
      </c>
      <c r="K122" s="95" t="n">
        <v>0</v>
      </c>
      <c r="L122" s="95" t="n">
        <v>0</v>
      </c>
      <c r="M122" s="95" t="n">
        <v>2</v>
      </c>
      <c r="N122" s="95" t="n">
        <v>10</v>
      </c>
      <c r="O122" s="95" t="n">
        <v>3</v>
      </c>
      <c r="P122" s="96">
        <f>SUM(K122:O122)</f>
        <v/>
      </c>
      <c r="Q122" s="5" t="inlineStr">
        <is>
          <t>待评审</t>
        </is>
      </c>
      <c r="R122" s="17" t="n"/>
    </row>
    <row r="123" ht="14.5" customHeight="1">
      <c r="A123" s="5" t="inlineStr">
        <is>
          <t>4.2.6</t>
        </is>
      </c>
      <c r="B123" s="17" t="inlineStr">
        <is>
          <t>4-画面与性能</t>
        </is>
      </c>
      <c r="C123" s="17" t="inlineStr">
        <is>
          <t>4.2 帧率与延迟</t>
        </is>
      </c>
      <c r="D123" s="17" t="inlineStr">
        <is>
          <t>菜单/后台限帧</t>
        </is>
      </c>
      <c r="E123" s="17" t="inlineStr">
        <is>
          <t>手机省电</t>
        </is>
      </c>
      <c r="F123" s="17" t="inlineStr">
        <is>
          <t>PC</t>
        </is>
      </c>
      <c r="G123" s="17" t="inlineStr">
        <is>
          <t>菜单与后台降帧</t>
        </is>
      </c>
      <c r="H123" s="5" t="inlineStr">
        <is>
          <t>EXP</t>
        </is>
      </c>
      <c r="I123" s="10" t="inlineStr">
        <is>
          <t>P2</t>
        </is>
      </c>
      <c r="J123" s="5" t="inlineStr">
        <is>
          <t>S</t>
        </is>
      </c>
      <c r="K123" s="95" t="n">
        <v>0</v>
      </c>
      <c r="L123" s="95" t="n">
        <v>0</v>
      </c>
      <c r="M123" s="95" t="n">
        <v>1</v>
      </c>
      <c r="N123" s="95" t="n">
        <v>1</v>
      </c>
      <c r="O123" s="95" t="n">
        <v>0.5</v>
      </c>
      <c r="P123" s="96">
        <f>SUM(K123:O123)</f>
        <v/>
      </c>
      <c r="Q123" s="5" t="inlineStr">
        <is>
          <t>待评审</t>
        </is>
      </c>
      <c r="R123" s="17" t="n"/>
    </row>
    <row r="124" ht="14.5" customHeight="1">
      <c r="A124" s="5" t="inlineStr">
        <is>
          <t>4.3.1</t>
        </is>
      </c>
      <c r="B124" s="17" t="inlineStr">
        <is>
          <t>4-画面与性能</t>
        </is>
      </c>
      <c r="C124" s="17" t="inlineStr">
        <is>
          <t>4.3 性能与资源</t>
        </is>
      </c>
      <c r="D124" s="17" t="inlineStr">
        <is>
          <t>设备分级</t>
        </is>
      </c>
      <c r="E124" s="17" t="inlineStr">
        <is>
          <t>按芯片分档</t>
        </is>
      </c>
      <c r="F124" s="17" t="inlineStr">
        <is>
          <t>荒野:低配降纹理/关泛光</t>
        </is>
      </c>
      <c r="G124" s="17" t="inlineStr">
        <is>
          <t>按显卡给默认档</t>
        </is>
      </c>
      <c r="H124" s="5" t="inlineStr">
        <is>
          <t>S5,S23</t>
        </is>
      </c>
      <c r="I124" s="8" t="inlineStr">
        <is>
          <t>P0</t>
        </is>
      </c>
      <c r="J124" s="5" t="inlineStr">
        <is>
          <t>M</t>
        </is>
      </c>
      <c r="K124" s="95" t="n">
        <v>1</v>
      </c>
      <c r="L124" s="95" t="n">
        <v>0</v>
      </c>
      <c r="M124" s="95" t="n">
        <v>1</v>
      </c>
      <c r="N124" s="95" t="n">
        <v>4</v>
      </c>
      <c r="O124" s="95" t="n">
        <v>4</v>
      </c>
      <c r="P124" s="96">
        <f>SUM(K124:O124)</f>
        <v/>
      </c>
      <c r="Q124" s="5" t="inlineStr">
        <is>
          <t>待评审</t>
        </is>
      </c>
      <c r="R124" s="17" t="n"/>
    </row>
    <row r="125" ht="14.5" customHeight="1">
      <c r="A125" s="5" t="inlineStr">
        <is>
          <t>4.3.2</t>
        </is>
      </c>
      <c r="B125" s="17" t="inlineStr">
        <is>
          <t>4-画面与性能</t>
        </is>
      </c>
      <c r="C125" s="17" t="inlineStr">
        <is>
          <t>4.3 性能与资源</t>
        </is>
      </c>
      <c r="D125" s="17" t="inlineStr">
        <is>
          <t>内存/显存/流式加载</t>
        </is>
      </c>
      <c r="E125" s="17" t="inlineStr">
        <is>
          <t>手机内存紧张</t>
        </is>
      </c>
      <c r="F125" s="17" t="inlineStr">
        <is>
          <t>荒野:虚拟内存建议</t>
        </is>
      </c>
      <c r="G125" s="17" t="inlineStr">
        <is>
          <t>资源分包、占用监控、流式加载</t>
        </is>
      </c>
      <c r="H125" s="5" t="inlineStr">
        <is>
          <t>S5</t>
        </is>
      </c>
      <c r="I125" s="9" t="inlineStr">
        <is>
          <t>P1</t>
        </is>
      </c>
      <c r="J125" s="5" t="inlineStr">
        <is>
          <t>L</t>
        </is>
      </c>
      <c r="K125" s="95" t="n">
        <v>0</v>
      </c>
      <c r="L125" s="95" t="n">
        <v>0</v>
      </c>
      <c r="M125" s="95" t="n">
        <v>4</v>
      </c>
      <c r="N125" s="95" t="n">
        <v>8</v>
      </c>
      <c r="O125" s="95" t="n">
        <v>3</v>
      </c>
      <c r="P125" s="96">
        <f>SUM(K125:O125)</f>
        <v/>
      </c>
      <c r="Q125" s="5" t="inlineStr">
        <is>
          <t>待评审</t>
        </is>
      </c>
      <c r="R125" s="17" t="n"/>
    </row>
    <row r="126" ht="14.5" customHeight="1">
      <c r="A126" s="5" t="inlineStr">
        <is>
          <t>4.3.3</t>
        </is>
      </c>
      <c r="B126" s="17" t="inlineStr">
        <is>
          <t>4-画面与性能</t>
        </is>
      </c>
      <c r="C126" s="17" t="inlineStr">
        <is>
          <t>4.3 性能与资源</t>
        </is>
      </c>
      <c r="D126" s="17" t="inlineStr">
        <is>
          <t>长时运行稳定性</t>
        </is>
      </c>
      <c r="E126" s="17" t="inlineStr">
        <is>
          <t>发热降频</t>
        </is>
      </c>
      <c r="F126" s="17" t="inlineStr">
        <is>
          <t>PC无发热降频</t>
        </is>
      </c>
      <c r="G126" s="17" t="inlineStr">
        <is>
          <t>显存泄漏/性能漂移</t>
        </is>
      </c>
      <c r="H126" s="5" t="inlineStr">
        <is>
          <t>S8</t>
        </is>
      </c>
      <c r="I126" s="9" t="inlineStr">
        <is>
          <t>P1</t>
        </is>
      </c>
      <c r="J126" s="5" t="inlineStr">
        <is>
          <t>M</t>
        </is>
      </c>
      <c r="K126" s="95" t="n">
        <v>0</v>
      </c>
      <c r="L126" s="95" t="n">
        <v>0</v>
      </c>
      <c r="M126" s="95" t="n">
        <v>2</v>
      </c>
      <c r="N126" s="95" t="n">
        <v>3</v>
      </c>
      <c r="O126" s="95" t="n">
        <v>4</v>
      </c>
      <c r="P126" s="96">
        <f>SUM(K126:O126)</f>
        <v/>
      </c>
      <c r="Q126" s="5" t="inlineStr">
        <is>
          <t>待评审</t>
        </is>
      </c>
      <c r="R126" s="17" t="n"/>
    </row>
    <row r="127" ht="14.5" customHeight="1">
      <c r="A127" s="5" t="inlineStr">
        <is>
          <t>4.3.4</t>
        </is>
      </c>
      <c r="B127" s="17" t="inlineStr">
        <is>
          <t>4-画面与性能</t>
        </is>
      </c>
      <c r="C127" s="17" t="inlineStr">
        <is>
          <t>4.3 性能与资源</t>
        </is>
      </c>
      <c r="D127" s="17" t="inlineStr">
        <is>
          <t>绘制距离/FOV</t>
        </is>
      </c>
      <c r="E127" s="17" t="inlineStr">
        <is>
          <t>手机减远景</t>
        </is>
      </c>
      <c r="F127" s="17" t="inlineStr">
        <is>
          <t>PC看得更远</t>
        </is>
      </c>
      <c r="G127" s="17" t="inlineStr">
        <is>
          <t>绘制距离/FOV设置</t>
        </is>
      </c>
      <c r="H127" s="5" t="inlineStr">
        <is>
          <t>S8</t>
        </is>
      </c>
      <c r="I127" s="9" t="inlineStr">
        <is>
          <t>P1</t>
        </is>
      </c>
      <c r="J127" s="5" t="inlineStr">
        <is>
          <t>M</t>
        </is>
      </c>
      <c r="K127" s="95" t="n">
        <v>0.5</v>
      </c>
      <c r="L127" s="95" t="n">
        <v>0</v>
      </c>
      <c r="M127" s="95" t="n">
        <v>1</v>
      </c>
      <c r="N127" s="95" t="n">
        <v>4</v>
      </c>
      <c r="O127" s="95" t="n">
        <v>2</v>
      </c>
      <c r="P127" s="96">
        <f>SUM(K127:O127)</f>
        <v/>
      </c>
      <c r="Q127" s="5" t="inlineStr">
        <is>
          <t>待评审</t>
        </is>
      </c>
      <c r="R127" s="17" t="n"/>
    </row>
    <row r="128" ht="14.5" customHeight="1">
      <c r="A128" s="5" t="inlineStr">
        <is>
          <t>4.3.5</t>
        </is>
      </c>
      <c r="B128" s="17" t="inlineStr">
        <is>
          <t>4-画面与性能</t>
        </is>
      </c>
      <c r="C128" s="17" t="inlineStr">
        <is>
          <t>4.3 性能与资源</t>
        </is>
      </c>
      <c r="D128" s="17" t="inlineStr">
        <is>
          <t>PC硬件兼容矩阵</t>
        </is>
      </c>
      <c r="E128" s="17" t="inlineStr">
        <is>
          <t>手机机型矩阵</t>
        </is>
      </c>
      <c r="F128" s="17" t="inlineStr">
        <is>
          <t>荒野:N/A卡驱动建议</t>
        </is>
      </c>
      <c r="G128" s="17" t="inlineStr">
        <is>
          <t>N/A/Intel显卡+驱动兼容测试</t>
        </is>
      </c>
      <c r="H128" s="5" t="inlineStr">
        <is>
          <t>S5</t>
        </is>
      </c>
      <c r="I128" s="8" t="inlineStr">
        <is>
          <t>P0</t>
        </is>
      </c>
      <c r="J128" s="5" t="inlineStr">
        <is>
          <t>L</t>
        </is>
      </c>
      <c r="K128" s="95" t="n">
        <v>0</v>
      </c>
      <c r="L128" s="95" t="n">
        <v>0</v>
      </c>
      <c r="M128" s="95" t="n">
        <v>2</v>
      </c>
      <c r="N128" s="95" t="n">
        <v>3</v>
      </c>
      <c r="O128" s="95" t="n">
        <v>15</v>
      </c>
      <c r="P128" s="96">
        <f>SUM(K128:O128)</f>
        <v/>
      </c>
      <c r="Q128" s="5" t="inlineStr">
        <is>
          <t>待评审</t>
        </is>
      </c>
      <c r="R128" s="17" t="inlineStr">
        <is>
          <t>QA主导</t>
        </is>
      </c>
    </row>
    <row r="129" ht="29" customHeight="1">
      <c r="A129" s="5" t="inlineStr">
        <is>
          <t>4.3.6</t>
        </is>
      </c>
      <c r="B129" s="17" t="inlineStr">
        <is>
          <t>4-画面与性能</t>
        </is>
      </c>
      <c r="C129" s="17" t="inlineStr">
        <is>
          <t>4.3 性能与资源</t>
        </is>
      </c>
      <c r="D129" s="17" t="inlineStr">
        <is>
          <t>包体与高清资源包</t>
        </is>
      </c>
      <c r="E129" s="17" t="inlineStr">
        <is>
          <t>手机分包下载</t>
        </is>
      </c>
      <c r="F129" s="17" t="inlineStr">
        <is>
          <t>崛起PC:可选高分辨率纹理包(待核实)</t>
        </is>
      </c>
      <c r="G129" s="17" t="inlineStr">
        <is>
          <t>PC包体结构、可选高清包</t>
        </is>
      </c>
      <c r="H129" s="5" t="inlineStr">
        <is>
          <t>EXP</t>
        </is>
      </c>
      <c r="I129" s="10" t="inlineStr">
        <is>
          <t>P2</t>
        </is>
      </c>
      <c r="J129" s="5" t="inlineStr">
        <is>
          <t>M</t>
        </is>
      </c>
      <c r="K129" s="95" t="n">
        <v>0.5</v>
      </c>
      <c r="L129" s="95" t="n">
        <v>0</v>
      </c>
      <c r="M129" s="95" t="n">
        <v>2</v>
      </c>
      <c r="N129" s="95" t="n">
        <v>4</v>
      </c>
      <c r="O129" s="95" t="n">
        <v>2</v>
      </c>
      <c r="P129" s="96">
        <f>SUM(K129:O129)</f>
        <v/>
      </c>
      <c r="Q129" s="5" t="inlineStr">
        <is>
          <t>待评审</t>
        </is>
      </c>
      <c r="R129" s="17" t="n"/>
    </row>
    <row r="130" ht="14.5" customHeight="1">
      <c r="A130" s="5" t="inlineStr">
        <is>
          <t>4.3.7</t>
        </is>
      </c>
      <c r="B130" s="17" t="inlineStr">
        <is>
          <t>4-画面与性能</t>
        </is>
      </c>
      <c r="C130" s="17" t="inlineStr">
        <is>
          <t>4.3 性能与资源</t>
        </is>
      </c>
      <c r="D130" s="17" t="inlineStr">
        <is>
          <t>超宽屏过场/HUD锚点</t>
        </is>
      </c>
      <c r="E130" s="17" t="inlineStr">
        <is>
          <t>无</t>
        </is>
      </c>
      <c r="F130" s="17" t="inlineStr">
        <is>
          <t>荒野/鸣潮:支持超宽</t>
        </is>
      </c>
      <c r="G130" s="17" t="inlineStr">
        <is>
          <t>过场黑边、HUD锚点可调</t>
        </is>
      </c>
      <c r="H130" s="5" t="inlineStr">
        <is>
          <t>EXP</t>
        </is>
      </c>
      <c r="I130" s="10" t="inlineStr">
        <is>
          <t>P2</t>
        </is>
      </c>
      <c r="J130" s="5" t="inlineStr">
        <is>
          <t>M</t>
        </is>
      </c>
      <c r="K130" s="95" t="n">
        <v>0.5</v>
      </c>
      <c r="L130" s="95" t="n">
        <v>1</v>
      </c>
      <c r="M130" s="95" t="n">
        <v>3</v>
      </c>
      <c r="N130" s="95" t="n">
        <v>1</v>
      </c>
      <c r="O130" s="95" t="n">
        <v>2</v>
      </c>
      <c r="P130" s="96">
        <f>SUM(K130:O130)</f>
        <v/>
      </c>
      <c r="Q130" s="5" t="inlineStr">
        <is>
          <t>待评审</t>
        </is>
      </c>
      <c r="R130" s="17" t="n"/>
    </row>
    <row r="131" ht="14.5" customHeight="1">
      <c r="A131" s="5" t="inlineStr">
        <is>
          <t>4.3.8</t>
        </is>
      </c>
      <c r="B131" s="17" t="inlineStr">
        <is>
          <t>4-画面与性能</t>
        </is>
      </c>
      <c r="C131" s="17" t="inlineStr">
        <is>
          <t>4.3 性能与资源</t>
        </is>
      </c>
      <c r="D131" s="17" t="inlineStr">
        <is>
          <t>过场动画/CG</t>
        </is>
      </c>
      <c r="E131" s="17" t="inlineStr">
        <is>
          <t>手机CG压缩</t>
        </is>
      </c>
      <c r="F131" s="17" t="inlineStr">
        <is>
          <t>PC大屏</t>
        </is>
      </c>
      <c r="G131" s="17" t="inlineStr">
        <is>
          <t>CG高码率重压、实时过场高帧率</t>
        </is>
      </c>
      <c r="H131" s="5" t="inlineStr">
        <is>
          <t>EXP</t>
        </is>
      </c>
      <c r="I131" s="10" t="inlineStr">
        <is>
          <t>P2</t>
        </is>
      </c>
      <c r="J131" s="5" t="inlineStr">
        <is>
          <t>M</t>
        </is>
      </c>
      <c r="K131" s="95" t="n">
        <v>0</v>
      </c>
      <c r="L131" s="95" t="n">
        <v>0</v>
      </c>
      <c r="M131" s="95" t="n">
        <v>1</v>
      </c>
      <c r="N131" s="95" t="n">
        <v>3</v>
      </c>
      <c r="O131" s="95" t="n">
        <v>1</v>
      </c>
      <c r="P131" s="96">
        <f>SUM(K131:O131)</f>
        <v/>
      </c>
      <c r="Q131" s="5" t="inlineStr">
        <is>
          <t>待评审</t>
        </is>
      </c>
      <c r="R131" s="17" t="n"/>
    </row>
  </sheetData>
  <autoFilter ref="A1:R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4"/>
  <cols>
    <col width="7" customWidth="1" min="1" max="1"/>
    <col width="34" customWidth="1" min="2" max="2"/>
    <col width="46" customWidth="1" min="3" max="3"/>
    <col width="70" customWidth="1" min="4" max="4"/>
  </cols>
  <sheetData>
    <row r="1" ht="26" customHeight="1">
      <c r="A1" s="20" t="inlineStr">
        <is>
          <t>编号</t>
        </is>
      </c>
      <c r="B1" s="20" t="inlineStr">
        <is>
          <t>来源</t>
        </is>
      </c>
      <c r="C1" s="20" t="inlineStr">
        <is>
          <t>提取要点</t>
        </is>
      </c>
      <c r="D1" s="20" t="inlineStr">
        <is>
          <t>链接</t>
        </is>
      </c>
    </row>
    <row r="2" ht="29" customHeight="1">
      <c r="A2" s="17" t="inlineStr">
        <is>
          <t>S1</t>
        </is>
      </c>
      <c r="B2" s="17" t="inlineStr">
        <is>
          <t>Fami通TGS试玩报告(篝火转载)</t>
        </is>
      </c>
      <c r="C2" s="17" t="inlineStr">
        <is>
          <t>旅人手机端:摇杆/技能连段/长按锁定部位/建造/状态栏就近</t>
        </is>
      </c>
      <c r="D2" s="16" t="inlineStr">
        <is>
          <t>https://gouhuo.qq.com/content/detail/0_20250928163049_S1o9Vaz0N</t>
        </is>
      </c>
    </row>
    <row r="3" ht="14.5" customHeight="1">
      <c r="A3" s="17" t="inlineStr">
        <is>
          <t>S2</t>
        </is>
      </c>
      <c r="B3" s="17" t="inlineStr">
        <is>
          <t>九游 旅人操作技巧</t>
        </is>
      </c>
      <c r="C3" s="17" t="inlineStr">
        <is>
          <t>点按轻击、长按重击</t>
        </is>
      </c>
      <c r="D3" s="16" t="inlineStr">
        <is>
          <t>https://www.9game.cn/gwlrlr/11803558.html</t>
        </is>
      </c>
    </row>
    <row r="4" ht="14.5" customHeight="1">
      <c r="A4" s="17" t="inlineStr">
        <is>
          <t>S3</t>
        </is>
      </c>
      <c r="B4" s="17" t="inlineStr">
        <is>
          <t>游侠网 荒野操作指南</t>
        </is>
      </c>
      <c r="C4" s="17" t="inlineStr">
        <is>
          <t>荒野键鼠/手柄全系统键位</t>
        </is>
      </c>
      <c r="D4" s="16" t="inlineStr">
        <is>
          <t>https://gl.ali213.net/html/2025-2/1616997.html</t>
        </is>
      </c>
    </row>
    <row r="5" ht="14.5" customHeight="1">
      <c r="A5" s="17" t="inlineStr">
        <is>
          <t>S4</t>
        </is>
      </c>
      <c r="B5" s="17" t="inlineStr">
        <is>
          <t>游民星空 荒野基本操作</t>
        </is>
      </c>
      <c r="C5" s="17" t="inlineStr">
        <is>
          <t>荒野手柄/键盘操作表</t>
        </is>
      </c>
      <c r="D5" s="16" t="inlineStr">
        <is>
          <t>https://www.gamersky.com/handbook/202410/1836587.shtml</t>
        </is>
      </c>
    </row>
    <row r="6" ht="14.5" customHeight="1">
      <c r="A6" s="17" t="inlineStr">
        <is>
          <t>S5</t>
        </is>
      </c>
      <c r="B6" s="17" t="inlineStr">
        <is>
          <t>游民星空 荒野画面优化</t>
        </is>
      </c>
      <c r="C6" s="17" t="inlineStr">
        <is>
          <t>荒野PC画质设置项</t>
        </is>
      </c>
      <c r="D6" s="16" t="inlineStr">
        <is>
          <t>https://www.gamersky.com/handbook/202503/1896172.shtml</t>
        </is>
      </c>
    </row>
    <row r="7" ht="14.5" customHeight="1">
      <c r="A7" s="17" t="inlineStr">
        <is>
          <t>S6</t>
        </is>
      </c>
      <c r="B7" s="17" t="inlineStr">
        <is>
          <t>NTGame 鸣潮操作与设置</t>
        </is>
      </c>
      <c r="C7" s="17" t="inlineStr">
        <is>
          <t>鸣潮PC键鼠/手柄/触屏/设置建议</t>
        </is>
      </c>
      <c r="D7" s="16" t="inlineStr">
        <is>
          <t>https://ntgame.com/wutheringwaves/controls/</t>
        </is>
      </c>
    </row>
    <row r="8" ht="14.5" customHeight="1">
      <c r="A8" s="17" t="inlineStr">
        <is>
          <t>S7</t>
        </is>
      </c>
      <c r="B8" s="17" t="inlineStr">
        <is>
          <t>百度知道 电脑和手机玩鸣潮的区别</t>
        </is>
      </c>
      <c r="C8" s="17" t="inlineStr">
        <is>
          <t>端手操作与画质差异</t>
        </is>
      </c>
      <c r="D8" s="16" t="inlineStr">
        <is>
          <t>https://zhidao.baidu.com/question/574515698126485364.html</t>
        </is>
      </c>
    </row>
    <row r="9" ht="14.5" customHeight="1">
      <c r="A9" s="17" t="inlineStr">
        <is>
          <t>S8</t>
        </is>
      </c>
      <c r="B9" s="17" t="inlineStr">
        <is>
          <t>什么值得买 鸣潮画质对比</t>
        </is>
      </c>
      <c r="C9" s="17" t="inlineStr">
        <is>
          <t>端手画质差异</t>
        </is>
      </c>
      <c r="D9" s="16" t="inlineStr">
        <is>
          <t>https://post.smzdm.com/zz/p/ako3z4l9/</t>
        </is>
      </c>
    </row>
    <row r="10" ht="14.5" customHeight="1">
      <c r="A10" s="17" t="inlineStr">
        <is>
          <t>S9</t>
        </is>
      </c>
      <c r="B10" s="17" t="inlineStr">
        <is>
          <t>百度贴吧 鸣潮键鼠手柄热切换</t>
        </is>
      </c>
      <c r="C10" s="17" t="inlineStr">
        <is>
          <t>动设备自动切换界面</t>
        </is>
      </c>
      <c r="D10" s="16" t="inlineStr">
        <is>
          <t>https://tieba.baidu.com/p/9025269279</t>
        </is>
      </c>
    </row>
    <row r="11" ht="14.5" customHeight="1">
      <c r="A11" s="17" t="inlineStr">
        <is>
          <t>S10</t>
        </is>
      </c>
      <c r="B11" s="17" t="inlineStr">
        <is>
          <t>B站 鸣潮显示设备切换</t>
        </is>
      </c>
      <c r="C11" s="17" t="inlineStr">
        <is>
          <t>多显示器/串流判定</t>
        </is>
      </c>
      <c r="D11" s="16" t="inlineStr">
        <is>
          <t>https://www.bilibili.com/video/BV1riKh66EaU</t>
        </is>
      </c>
    </row>
    <row r="12" ht="14.5" customHeight="1">
      <c r="A12" s="17" t="inlineStr">
        <is>
          <t>S11</t>
        </is>
      </c>
      <c r="B12" s="17" t="inlineStr">
        <is>
          <t>NGA 鸣潮优化设置</t>
        </is>
      </c>
      <c r="C12" s="17" t="inlineStr">
        <is>
          <t>NVIDIA Reflex隐藏选项</t>
        </is>
      </c>
      <c r="D12" s="16" t="inlineStr">
        <is>
          <t>https://bbs.nga.cn/read.php?tid=46245547</t>
        </is>
      </c>
    </row>
    <row r="13" ht="14.5" customHeight="1">
      <c r="A13" s="17" t="inlineStr">
        <is>
          <t>S12</t>
        </is>
      </c>
      <c r="B13" s="17" t="inlineStr">
        <is>
          <t>CSDN 鸣潮120帧指南</t>
        </is>
      </c>
      <c r="C13" s="17" t="inlineStr">
        <is>
          <t>120帧、关垂直同步、F11监控</t>
        </is>
      </c>
      <c r="D13" s="16" t="inlineStr">
        <is>
          <t>https://blog.csdn.net/gitblog_00967/article/details/160707103</t>
        </is>
      </c>
    </row>
    <row r="14" ht="14.5" customHeight="1">
      <c r="A14" s="17" t="inlineStr">
        <is>
          <t>S13</t>
        </is>
      </c>
      <c r="B14" s="17" t="inlineStr">
        <is>
          <t>米游社 原神手机与电脑操作对比</t>
        </is>
      </c>
      <c r="C14" s="17" t="inlineStr">
        <is>
          <t>左Alt呼出鼠标</t>
        </is>
      </c>
      <c r="D14" s="16" t="inlineStr">
        <is>
          <t>https://bbs.mihoyo.com/dby/article/43522626</t>
        </is>
      </c>
    </row>
    <row r="15" ht="29" customHeight="1">
      <c r="A15" s="17" t="inlineStr">
        <is>
          <t>S14</t>
        </is>
      </c>
      <c r="B15" s="17" t="inlineStr">
        <is>
          <t>百度文库 原神PC按键设置详解</t>
        </is>
      </c>
      <c r="C15" s="17" t="inlineStr">
        <is>
          <t>F1当前界面提示、Ctrl走跑切换、F交互</t>
        </is>
      </c>
      <c r="D15" s="16" t="inlineStr">
        <is>
          <t>https://wenku.baidu.com/view/7aaeba9f1d5f312b3169a45177232f60ddcce7aa.html</t>
        </is>
      </c>
    </row>
    <row r="16" ht="14.5" customHeight="1">
      <c r="A16" s="17" t="inlineStr">
        <is>
          <t>S15</t>
        </is>
      </c>
      <c r="B16" s="17" t="inlineStr">
        <is>
          <t>游侠网 崩坏星穹铁道快捷键一览</t>
        </is>
      </c>
      <c r="C16" s="17" t="inlineStr">
        <is>
          <t>Alt唤起鼠标、C/B/M/J、F1~F5系统入口</t>
        </is>
      </c>
      <c r="D16" s="16" t="inlineStr">
        <is>
          <t>https://gl.ali213.net/html/2025-6/1664575.html</t>
        </is>
      </c>
    </row>
    <row r="17" ht="14.5" customHeight="1">
      <c r="A17" s="17" t="inlineStr">
        <is>
          <t>S16</t>
        </is>
      </c>
      <c r="B17" s="17" t="inlineStr">
        <is>
          <t>17173 绝区零PC切换手柄模式</t>
        </is>
      </c>
      <c r="C17" s="17" t="inlineStr">
        <is>
          <t>设置-输入-UI布局切换</t>
        </is>
      </c>
      <c r="D17" s="16" t="inlineStr">
        <is>
          <t>https://news.17173.com/content/08302024/112403533.shtml</t>
        </is>
      </c>
    </row>
    <row r="18" ht="14.5" customHeight="1">
      <c r="A18" s="17" t="inlineStr">
        <is>
          <t>S17</t>
        </is>
      </c>
      <c r="B18" s="17" t="inlineStr">
        <is>
          <t>Valve Steam Deck兼容性检查</t>
        </is>
      </c>
      <c r="C18" s="17" t="inlineStr">
        <is>
          <t>手柄访问全部内容/图标匹配/虚拟键盘/字号/启动器</t>
        </is>
      </c>
      <c r="D18" s="16" t="inlineStr">
        <is>
          <t>https://partner.steamgames.com/doc/steamdeck/compat</t>
        </is>
      </c>
    </row>
    <row r="19" ht="29" customHeight="1">
      <c r="A19" s="17" t="inlineStr">
        <is>
          <t>S18</t>
        </is>
      </c>
      <c r="B19" s="17" t="inlineStr">
        <is>
          <t>Microsoft Xbox掌机开发资源</t>
        </is>
      </c>
      <c r="C19" s="17" t="inlineStr">
        <is>
          <t>GameInput、情境图标、大字号默认、文本输入</t>
        </is>
      </c>
      <c r="D19" s="16" t="inlineStr">
        <is>
          <t>https://developer.microsoft.com/en-us/games/resources/handheld-development/</t>
        </is>
      </c>
    </row>
    <row r="20" ht="14.5" customHeight="1">
      <c r="A20" s="17" t="inlineStr">
        <is>
          <t>S19</t>
        </is>
      </c>
      <c r="B20" s="17" t="inlineStr">
        <is>
          <t>PHP中文网 Shift输入法冲突</t>
        </is>
      </c>
      <c r="C20" s="17" t="inlineStr">
        <is>
          <t>Shift触发输入法切换</t>
        </is>
      </c>
      <c r="D20" s="16" t="inlineStr">
        <is>
          <t>https://www.php.cn/faq/2669884.html</t>
        </is>
      </c>
    </row>
    <row r="21" ht="14.5" customHeight="1">
      <c r="A21" s="17" t="inlineStr">
        <is>
          <t>S20</t>
        </is>
      </c>
      <c r="B21" s="17" t="inlineStr">
        <is>
          <t>什么值得买 PC端值不值</t>
        </is>
      </c>
      <c r="C21" s="17" t="inlineStr">
        <is>
          <t>手游端游化槽点:UI简化、自动寻路</t>
        </is>
      </c>
      <c r="D21" s="16" t="inlineStr">
        <is>
          <t>https://post.smzdm.com/p/aww5dp4m/</t>
        </is>
      </c>
    </row>
    <row r="22" ht="14.5" customHeight="1">
      <c r="A22" s="17" t="inlineStr">
        <is>
          <t>S21</t>
        </is>
      </c>
      <c r="B22" s="17" t="inlineStr">
        <is>
          <t>游民星空 崛起PC键鼠改键参考</t>
        </is>
      </c>
      <c r="C22" s="17" t="inlineStr">
        <is>
          <t>崛起PC内置改键</t>
        </is>
      </c>
      <c r="D22" s="16" t="inlineStr">
        <is>
          <t>https://www.gamersky.com/handbook/202201/1452843.shtml</t>
        </is>
      </c>
    </row>
    <row r="23" ht="29" customHeight="1">
      <c r="A23" s="17" t="inlineStr">
        <is>
          <t>S22</t>
        </is>
      </c>
      <c r="B23" s="17" t="inlineStr">
        <is>
          <t>百度文库 鸣潮PS手柄图标</t>
        </is>
      </c>
      <c r="C23" s="17" t="inlineStr">
        <is>
          <t>手柄识别自动切换图标</t>
        </is>
      </c>
      <c r="D23" s="16" t="inlineStr">
        <is>
          <t>https://wenku.baidu.com/view/b4c876e2e83a87c24028915f804d2b160a4e867d.html</t>
        </is>
      </c>
    </row>
    <row r="24" ht="14.5" customHeight="1">
      <c r="A24" s="17" t="inlineStr">
        <is>
          <t>S23</t>
        </is>
      </c>
      <c r="B24" s="17" t="inlineStr">
        <is>
          <t>什么值得买 荒野操作&amp;画面设置</t>
        </is>
      </c>
      <c r="C24" s="17" t="inlineStr">
        <is>
          <t>低配降纹理、关泛光动态模糊</t>
        </is>
      </c>
      <c r="D24" s="16" t="inlineStr">
        <is>
          <t>https://post.m.smzdm.com/zz/p/a447zrwl/</t>
        </is>
      </c>
    </row>
    <row r="25" ht="14.5" customHeight="1">
      <c r="A25" s="17" t="inlineStr">
        <is>
          <t>EXP</t>
        </is>
      </c>
      <c r="B25" s="17" t="inlineStr">
        <is>
          <t>行业经验</t>
        </is>
      </c>
      <c r="C25" s="17" t="inlineStr">
        <is>
          <t>无直接公开来源,需内部技术确认</t>
        </is>
      </c>
      <c r="D25" s="17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2026-09-28T02:54:49Z</dcterms:created>
  <dcterms:modified xsi:type="dcterms:W3CDTF">2026-09-28T04:11:46Z</dcterms:modified>
  <cp:lastModifiedBy>T176596</cp:lastModifiedBy>
</cp:coreProperties>
</file>